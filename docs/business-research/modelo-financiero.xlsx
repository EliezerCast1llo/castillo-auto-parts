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40436a93f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38695ef084f4ee5"/>
    <x:sheet xmlns:r="http://schemas.openxmlformats.org/officeDocument/2006/relationships" name="Assumptions" sheetId="2" r:id="Reaa8872894964561"/>
    <x:sheet xmlns:r="http://schemas.openxmlformats.org/officeDocument/2006/relationships" name="Monthly Model" sheetId="3" r:id="R0298649019264b1f"/>
    <x:sheet xmlns:r="http://schemas.openxmlformats.org/officeDocument/2006/relationships" name="Sources" sheetId="4" r:id="Rc56990eb979444f9"/>
    <x:sheet xmlns:r="http://schemas.openxmlformats.org/officeDocument/2006/relationships" name="Checks" sheetId="5" r:id="R47db5d34bc0c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-"/>
    <x:numFmt numFmtId="201" formatCode="0.0%;[Red](0.0%);-"/>
    <x:numFmt numFmtId="202" formatCode="#,##0.0;[Red](#,##0.0);-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3F4F6"/>
      </x:patternFill>
    </x:fill>
    <x:fill>
      <x:patternFill patternType="solid">
        <x:fgColor rgb="FFE6F4F1"/>
      </x:patternFill>
    </x:fill>
    <x:fill>
      <x:patternFill patternType="solid">
        <x:fgColor rgb="FF0E7490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B7C9D3"/>
      </x:left>
      <x:top style="thin">
        <x:color rgb="FFB7C9D3"/>
      </x:top>
      <x:bottom style="thin">
        <x:color rgb="FFB7C9D3"/>
      </x:bottom>
    </x:border>
    <x:border>
      <x:top style="thin">
        <x:color rgb="FFB7C9D3"/>
      </x:top>
      <x:bottom style="thin">
        <x:color rgb="FFB7C9D3"/>
      </x:bottom>
    </x:border>
    <x:border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201" fontId="4" fillId="6" borderId="0" xfId="0" applyNumberFormat="1" applyFont="1" applyFill="1" applyBorder="1"/>
    <x:xf numFmtId="202" fontId="4" fillId="6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0" fontId="0" fillId="4" borderId="0" xfId="0" applyNumberFormat="1" applyFont="1" applyFill="1" applyBorder="1"/>
    <x:xf numFmtId="200" fontId="2" fillId="4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335822e65448f" /><Relationship Type="http://schemas.openxmlformats.org/officeDocument/2006/relationships/theme" Target="/xl/theme/theme1.xml" Id="R3d80a0d91a1844e4" /><Relationship Type="http://schemas.openxmlformats.org/officeDocument/2006/relationships/sharedStrings" Target="/xl/sharedStrings.xml" Id="R6c4de22b50aa402a" /><Relationship Type="http://schemas.openxmlformats.org/officeDocument/2006/relationships/worksheet" Target="/xl/worksheets/sheet1.xml" Id="R938695ef084f4ee5" /><Relationship Type="http://schemas.openxmlformats.org/officeDocument/2006/relationships/worksheet" Target="/xl/worksheets/sheet2.xml" Id="Reaa8872894964561" /><Relationship Type="http://schemas.openxmlformats.org/officeDocument/2006/relationships/worksheet" Target="/xl/worksheets/sheet3.xml" Id="R0298649019264b1f" /><Relationship Type="http://schemas.openxmlformats.org/officeDocument/2006/relationships/worksheet" Target="/xl/worksheets/sheet4.xml" Id="Rc56990eb979444f9" /><Relationship Type="http://schemas.openxmlformats.org/officeDocument/2006/relationships/worksheet" Target="/xl/worksheets/sheet5.xml" Id="R47db5d34bc0c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4" t="str">
        <x:v>Castillo Autoparts — modelo financiero de prefactibilidad</x:v>
      </x:c>
      <x:c r="B1" s="4"/>
      <x:c r="C1" s="4"/>
      <x:c r="D1" s="4"/>
      <x:c r="E1" s="4"/>
      <x:c r="F1" s="4"/>
      <x:c r="G1" s="4"/>
      <x:c r="H1" s="4"/>
    </x:row>
    <x:row r="2" ht="24" customHeight="1"/>
    <x:row r="3" ht="24" customHeight="1">
      <x:c r="A3" s="6" t="str">
        <x:v>Propósito</x:v>
      </x:c>
      <x:c r="B3" s="7" t="str">
        <x:v>Escenarios ilustrativos de 12 meses para decidir cuánto validar antes de inmovilizar capital.</x:v>
      </x:c>
    </x:row>
    <x:row r="4" ht="24" customHeight="1">
      <x:c r="A4" s="6" t="str">
        <x:v>Fecha de consulta</x:v>
      </x:c>
      <x:c r="B4" s="7" t="str">
        <x:v>2026-08-02</x:v>
      </x:c>
    </x:row>
    <x:row r="5" ht="24" customHeight="1">
      <x:c r="A5" s="6" t="str">
        <x:v>Moneda</x:v>
      </x:c>
      <x:c r="B5" s="7" t="str">
        <x:v>USD</x:v>
      </x:c>
    </x:row>
    <x:row r="6" ht="24" customHeight="1">
      <x:c r="A6" s="6" t="str">
        <x:v>Capital total asumido</x:v>
      </x:c>
      <x:c r="B6" s="7" t="str">
        <x:v>Hipótesis: $3,000; confirmar si es capital total o inventario.</x:v>
      </x:c>
    </x:row>
    <x:row r="7" ht="24" customHeight="1">
      <x:c r="A7" s="6" t="str">
        <x:v>Inventario máximo provisional</x:v>
      </x:c>
      <x:c r="B7" s="7" t="str">
        <x:v>$1,500</x:v>
      </x:c>
    </x:row>
    <x:row r="8" ht="24" customHeight="1">
      <x:c r="A8" s="6" t="str">
        <x:v>Uso</x:v>
      </x:c>
      <x:c r="B8" s="7" t="str">
        <x:v>Editar celdas amarillas/azules en Assumptions; revisar Checks antes de decidir.</x:v>
      </x:c>
    </x:row>
    <x:row r="9" ht="24" customHeight="1">
      <x:c r="A9" s="6" t="str">
        <x:v>Advertencia</x:v>
      </x:c>
      <x:c r="B9" s="7" t="str">
        <x:v>No es un pronóstico ni aprobación de compra; faltan cotizaciones, ventas y costos reales.</x:v>
      </x:c>
    </x:row>
    <x:row r="10" ht="24" customHeight="1"/>
    <x:row r="11" ht="24" customHeight="1"/>
    <x:row r="12" ht="24" customHeight="1">
      <x:c r="A12" s="10" t="str">
        <x:v>Convenciones</x:v>
      </x:c>
      <x:c r="B12" s="10" t="str">
        <x:v>Entradas editables</x:v>
      </x:c>
      <x:c r="C12" s="10" t="str">
        <x:v>Fórmulas</x:v>
      </x:c>
      <x:c r="D12" s="10" t="str">
        <x:v>Fuente externa</x:v>
      </x:c>
      <x:c r="E12" s="10" t="str">
        <x:v>ND</x:v>
      </x:c>
      <x:c r="F12" s="10" t="str">
        <x:v>Sin dato disponible</x:v>
      </x:c>
      <x:c r="G12" s="10" t="str">
        <x:v>Escenario</x:v>
      </x:c>
      <x:c r="H12" s="10" t="str">
        <x:v>Conservador/Base/Optimista</x:v>
      </x:c>
    </x:row>
    <x:row r="13" ht="24" customHeight="1"/>
    <x:row r="14" ht="24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Assumptions — hipótesis editables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Escenario</x:v>
      </x:c>
      <x:c r="B3" s="23" t="str">
        <x:v>Pedidos/mes</x:v>
      </x:c>
      <x:c r="C3" s="23" t="str">
        <x:v>Ticket promedio</x:v>
      </x:c>
      <x:c r="D3" s="23" t="str">
        <x:v>Margen bruto</x:v>
      </x:c>
      <x:c r="E3" s="23" t="str">
        <x:v>Comisión pago</x:v>
      </x:c>
      <x:c r="F3" s="23" t="str">
        <x:v>Empaque/pedido</x:v>
      </x:c>
      <x:c r="G3" s="23" t="str">
        <x:v>Subsidio envío</x:v>
      </x:c>
      <x:c r="H3" s="24" t="str">
        <x:v>Devolución + garantía</x:v>
      </x:c>
    </x:row>
    <x:row r="4">
      <x:c r="A4" t="str">
        <x:v>Conservador</x:v>
      </x:c>
      <x:c r="B4" s="26" t="n">
        <x:v>8</x:v>
      </x:c>
      <x:c r="C4" s="27" t="n">
        <x:v>35</x:v>
      </x:c>
      <x:c r="D4" s="28" t="n">
        <x:v>0.3</x:v>
      </x:c>
      <x:c r="E4" s="28" t="n">
        <x:v>0.04</x:v>
      </x:c>
      <x:c r="F4" s="27" t="n">
        <x:v>0.75</x:v>
      </x:c>
      <x:c r="G4" s="27" t="n">
        <x:v>0</x:v>
      </x:c>
      <x:c r="H4" s="28" t="n">
        <x:v>0.03</x:v>
      </x:c>
    </x:row>
    <x:row r="5">
      <x:c r="A5" t="str">
        <x:v>Base</x:v>
      </x:c>
      <x:c r="B5" s="26" t="n">
        <x:v>20</x:v>
      </x:c>
      <x:c r="C5" s="27" t="n">
        <x:v>45</x:v>
      </x:c>
      <x:c r="D5" s="28" t="n">
        <x:v>0.35</x:v>
      </x:c>
      <x:c r="E5" s="28" t="n">
        <x:v>0.04</x:v>
      </x:c>
      <x:c r="F5" s="27" t="n">
        <x:v>0.75</x:v>
      </x:c>
      <x:c r="G5" s="27" t="n">
        <x:v>0</x:v>
      </x:c>
      <x:c r="H5" s="28" t="n">
        <x:v>0.05</x:v>
      </x:c>
    </x:row>
    <x:row r="6">
      <x:c r="A6" t="str">
        <x:v>Optimista</x:v>
      </x:c>
      <x:c r="B6" s="26" t="n">
        <x:v>35</x:v>
      </x:c>
      <x:c r="C6" s="27" t="n">
        <x:v>55</x:v>
      </x:c>
      <x:c r="D6" s="28" t="n">
        <x:v>0.4</x:v>
      </x:c>
      <x:c r="E6" s="28" t="n">
        <x:v>0.04</x:v>
      </x:c>
      <x:c r="F6" s="27" t="n">
        <x:v>0.75</x:v>
      </x:c>
      <x:c r="G6" s="27" t="n">
        <x:v>0</x:v>
      </x:c>
      <x:c r="H6" s="28" t="n">
        <x:v>0.07</x:v>
      </x:c>
    </x:row>
    <x:row r="9">
      <x:c r="A9" s="6" t="str">
        <x:v>Capital total</x:v>
      </x:c>
      <x:c r="B9" s="27" t="n">
        <x:v>3000</x:v>
      </x:c>
    </x:row>
    <x:row r="10">
      <x:c r="A10" s="6" t="str">
        <x:v>Techo inventario</x:v>
      </x:c>
      <x:c r="B10" s="27" t="n">
        <x:v>1500</x:v>
      </x:c>
    </x:row>
    <x:row r="11">
      <x:c r="A11" s="6" t="str">
        <x:v>Inventario inicial etapa 1</x:v>
      </x:c>
      <x:c r="B11" s="27" t="n">
        <x:v>400</x:v>
      </x:c>
    </x:row>
    <x:row r="12">
      <x:c r="A12" s="6" t="str">
        <x:v>Publicidad mensual base</x:v>
      </x:c>
      <x:c r="B12" s="27" t="n">
        <x:v>100</x:v>
      </x:c>
    </x:row>
    <x:row r="13">
      <x:c r="A13" s="6" t="str">
        <x:v>Herramientas/costos fijos base</x:v>
      </x:c>
      <x:c r="B13" s="27" t="n">
        <x:v>75</x:v>
      </x:c>
    </x:row>
    <x:row r="14">
      <x:c r="A14" s="6" t="str">
        <x:v>Días del mes</x:v>
      </x:c>
      <x:c r="B14" s="29" t="n">
        <x:v>30</x:v>
      </x:c>
    </x:row>
    <x:row r="15">
      <x:c r="A15" s="6" t="str">
        <x:v>Objetivo contribución mínima</x:v>
      </x:c>
      <x:c r="B15" s="28" t="n">
        <x:v>0.15</x:v>
      </x:c>
    </x:row>
    <x:row r="16">
      <x:c r="A16" s="6" t="str">
        <x:v>Precio de entrega</x:v>
      </x:c>
      <x:c r="B16" s="27" t="n">
        <x:v>0</x:v>
      </x:c>
    </x:row>
    <x:row r="19">
      <x:c r="A19" s="22" t="str">
        <x:v>Supuesto</x:v>
      </x:c>
      <x:c r="B19" s="24" t="str">
        <x:v>Nota</x:v>
      </x:c>
    </x:row>
    <x:row r="20">
      <x:c r="A20" t="str">
        <x:v>Pedidos</x:v>
      </x:c>
      <x:c r="B20" s="7" t="str">
        <x:v>Hipótesis para sensibilidad; sustituir con pedidos reales.</x:v>
      </x:c>
    </x:row>
    <x:row r="21">
      <x:c r="A21" t="str">
        <x:v>Margen bruto</x:v>
      </x:c>
      <x:c r="B21" s="7" t="str">
        <x:v>No validado hasta tener costo puesto y precio competitivo.</x:v>
      </x:c>
    </x:row>
    <x:row r="22">
      <x:c r="A22" t="str">
        <x:v>Costos</x:v>
      </x:c>
      <x:c r="B22" s="7" t="str">
        <x:v>Comisiones, empaques, publicidad, mensajería y garantías son placeholders.</x:v>
      </x:c>
    </x:row>
    <x:row r="23">
      <x:c r="A23" t="str">
        <x:v>Capital</x:v>
      </x:c>
      <x:c r="B23" s="7" t="str">
        <x:v>Se interpreta $3,000 como capital total; confirmar antes de compra.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4" t="str">
        <x:v>Monthly Model — 12 meses por escenario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22" t="str">
        <x:v>Escenario</x:v>
      </x:c>
      <x:c r="B3" s="23" t="str">
        <x:v>Mes</x:v>
      </x:c>
      <x:c r="C3" s="23" t="str">
        <x:v>Pedidos</x:v>
      </x:c>
      <x:c r="D3" s="23" t="str">
        <x:v>Ticket</x:v>
      </x:c>
      <x:c r="E3" s="23" t="str">
        <x:v>Ingresos</x:v>
      </x:c>
      <x:c r="F3" s="23" t="str">
        <x:v>Costo producto</x:v>
      </x:c>
      <x:c r="G3" s="23" t="str">
        <x:v>Margen bruto</x:v>
      </x:c>
      <x:c r="H3" s="23" t="str">
        <x:v>Comisión</x:v>
      </x:c>
      <x:c r="I3" s="23" t="str">
        <x:v>Empaque</x:v>
      </x:c>
      <x:c r="J3" s="23" t="str">
        <x:v>Subsidio envío</x:v>
      </x:c>
      <x:c r="K3" s="23" t="str">
        <x:v>Devolución/garantía</x:v>
      </x:c>
      <x:c r="L3" s="23" t="str">
        <x:v>Publicidad</x:v>
      </x:c>
      <x:c r="M3" s="23" t="str">
        <x:v>Fijos</x:v>
      </x:c>
      <x:c r="N3" s="23" t="str">
        <x:v>Contribución</x:v>
      </x:c>
      <x:c r="O3" s="24" t="str">
        <x:v>Flujo caja antes inventario</x:v>
      </x:c>
    </x:row>
    <x:row r="4">
      <x:c r="A4" s="5" t="str">
        <x:v>Conservador</x:v>
      </x:c>
      <x:c r="B4" s="32" t="n">
        <x:v>1</x:v>
      </x:c>
      <x:c r="C4" s="31" t="n">
        <x:f>'Assumptions'!$B$4</x:f>
        <x:v>8</x:v>
      </x:c>
      <x:c r="D4" s="30" t="n">
        <x:f>'Assumptions'!$C$4</x:f>
        <x:v>35</x:v>
      </x:c>
      <x:c r="E4" s="30" t="n">
        <x:f>C4*D4</x:f>
        <x:v>280</x:v>
      </x:c>
      <x:c r="F4" s="30" t="n">
        <x:f>E4*(1-'Assumptions'!$D$4)</x:f>
        <x:v>196</x:v>
      </x:c>
      <x:c r="G4" s="30" t="n">
        <x:f>E4-F4</x:f>
        <x:v>84</x:v>
      </x:c>
      <x:c r="H4" s="30" t="n">
        <x:f>E4*'Assumptions'!$E$4</x:f>
        <x:v>11.200000000000001</x:v>
      </x:c>
      <x:c r="I4" s="30" t="n">
        <x:f>C4*'Assumptions'!$F$4</x:f>
        <x:v>6</x:v>
      </x:c>
      <x:c r="J4" s="30" t="n">
        <x:f>C4*'Assumptions'!$G$4</x:f>
        <x:v>0</x:v>
      </x:c>
      <x:c r="K4" s="30" t="n">
        <x:f>E4*'Assumptions'!$H$4</x:f>
        <x:v>8.4</x:v>
      </x:c>
      <x:c r="L4" s="30" t="n">
        <x:f>IF($A4="Base",'Assumptions'!$B$12,IF($A4="Conservador",'Assumptions'!$B$12*0.5,'Assumptions'!$B$12*1.8))</x:f>
        <x:v>50</x:v>
      </x:c>
      <x:c r="M4" s="30" t="n">
        <x:f>IF($A4="Base",'Assumptions'!$B$13,IF($A4="Conservador",'Assumptions'!$B$13*0.67,'Assumptions'!$B$13*1.33))</x:f>
        <x:v>50.25</x:v>
      </x:c>
      <x:c r="N4" s="34" t="n">
        <x:f>G4-H4-I4-J4-K4-L4-M4</x:f>
        <x:v>-41.85</x:v>
      </x:c>
      <x:c r="O4" s="34" t="n">
        <x:f>N4</x:f>
        <x:v>-41.85</x:v>
      </x:c>
    </x:row>
    <x:row r="5">
      <x:c r="A5" s="5" t="str">
        <x:v>Conservador</x:v>
      </x:c>
      <x:c r="B5" s="32" t="n">
        <x:v>2</x:v>
      </x:c>
      <x:c r="C5" s="31" t="n">
        <x:f>'Assumptions'!$B$4</x:f>
        <x:v>8</x:v>
      </x:c>
      <x:c r="D5" s="30" t="n">
        <x:f>'Assumptions'!$C$4</x:f>
        <x:v>35</x:v>
      </x:c>
      <x:c r="E5" s="30" t="n">
        <x:f>C5*D5</x:f>
        <x:v>280</x:v>
      </x:c>
      <x:c r="F5" s="30" t="n">
        <x:f>E5*(1-'Assumptions'!$D$4)</x:f>
        <x:v>196</x:v>
      </x:c>
      <x:c r="G5" s="30" t="n">
        <x:f>E5-F5</x:f>
        <x:v>84</x:v>
      </x:c>
      <x:c r="H5" s="30" t="n">
        <x:f>E5*'Assumptions'!$E$4</x:f>
        <x:v>11.200000000000001</x:v>
      </x:c>
      <x:c r="I5" s="30" t="n">
        <x:f>C5*'Assumptions'!$F$4</x:f>
        <x:v>6</x:v>
      </x:c>
      <x:c r="J5" s="30" t="n">
        <x:f>C5*'Assumptions'!$G$4</x:f>
        <x:v>0</x:v>
      </x:c>
      <x:c r="K5" s="30" t="n">
        <x:f>E5*'Assumptions'!$H$4</x:f>
        <x:v>8.4</x:v>
      </x:c>
      <x:c r="L5" s="30" t="n">
        <x:f>IF($A5="Base",'Assumptions'!$B$12,IF($A5="Conservador",'Assumptions'!$B$12*0.5,'Assumptions'!$B$12*1.8))</x:f>
        <x:v>50</x:v>
      </x:c>
      <x:c r="M5" s="30" t="n">
        <x:f>IF($A5="Base",'Assumptions'!$B$13,IF($A5="Conservador",'Assumptions'!$B$13*0.67,'Assumptions'!$B$13*1.33))</x:f>
        <x:v>50.25</x:v>
      </x:c>
      <x:c r="N5" s="34" t="n">
        <x:f>G5-H5-I5-J5-K5-L5-M5</x:f>
        <x:v>-41.85</x:v>
      </x:c>
      <x:c r="O5" s="34" t="n">
        <x:f>N5</x:f>
        <x:v>-41.85</x:v>
      </x:c>
    </x:row>
    <x:row r="6">
      <x:c r="A6" s="5" t="str">
        <x:v>Conservador</x:v>
      </x:c>
      <x:c r="B6" s="32" t="n">
        <x:v>3</x:v>
      </x:c>
      <x:c r="C6" s="31" t="n">
        <x:f>'Assumptions'!$B$4</x:f>
        <x:v>8</x:v>
      </x:c>
      <x:c r="D6" s="30" t="n">
        <x:f>'Assumptions'!$C$4</x:f>
        <x:v>35</x:v>
      </x:c>
      <x:c r="E6" s="30" t="n">
        <x:f>C6*D6</x:f>
        <x:v>280</x:v>
      </x:c>
      <x:c r="F6" s="30" t="n">
        <x:f>E6*(1-'Assumptions'!$D$4)</x:f>
        <x:v>196</x:v>
      </x:c>
      <x:c r="G6" s="30" t="n">
        <x:f>E6-F6</x:f>
        <x:v>84</x:v>
      </x:c>
      <x:c r="H6" s="30" t="n">
        <x:f>E6*'Assumptions'!$E$4</x:f>
        <x:v>11.200000000000001</x:v>
      </x:c>
      <x:c r="I6" s="30" t="n">
        <x:f>C6*'Assumptions'!$F$4</x:f>
        <x:v>6</x:v>
      </x:c>
      <x:c r="J6" s="30" t="n">
        <x:f>C6*'Assumptions'!$G$4</x:f>
        <x:v>0</x:v>
      </x:c>
      <x:c r="K6" s="30" t="n">
        <x:f>E6*'Assumptions'!$H$4</x:f>
        <x:v>8.4</x:v>
      </x:c>
      <x:c r="L6" s="30" t="n">
        <x:f>IF($A6="Base",'Assumptions'!$B$12,IF($A6="Conservador",'Assumptions'!$B$12*0.5,'Assumptions'!$B$12*1.8))</x:f>
        <x:v>50</x:v>
      </x:c>
      <x:c r="M6" s="30" t="n">
        <x:f>IF($A6="Base",'Assumptions'!$B$13,IF($A6="Conservador",'Assumptions'!$B$13*0.67,'Assumptions'!$B$13*1.33))</x:f>
        <x:v>50.25</x:v>
      </x:c>
      <x:c r="N6" s="34" t="n">
        <x:f>G6-H6-I6-J6-K6-L6-M6</x:f>
        <x:v>-41.85</x:v>
      </x:c>
      <x:c r="O6" s="34" t="n">
        <x:f>N6</x:f>
        <x:v>-41.85</x:v>
      </x:c>
    </x:row>
    <x:row r="7">
      <x:c r="A7" s="5" t="str">
        <x:v>Conservador</x:v>
      </x:c>
      <x:c r="B7" s="32" t="n">
        <x:v>4</x:v>
      </x:c>
      <x:c r="C7" s="31" t="n">
        <x:f>'Assumptions'!$B$4</x:f>
        <x:v>8</x:v>
      </x:c>
      <x:c r="D7" s="30" t="n">
        <x:f>'Assumptions'!$C$4</x:f>
        <x:v>35</x:v>
      </x:c>
      <x:c r="E7" s="30" t="n">
        <x:f>C7*D7</x:f>
        <x:v>280</x:v>
      </x:c>
      <x:c r="F7" s="30" t="n">
        <x:f>E7*(1-'Assumptions'!$D$4)</x:f>
        <x:v>196</x:v>
      </x:c>
      <x:c r="G7" s="30" t="n">
        <x:f>E7-F7</x:f>
        <x:v>84</x:v>
      </x:c>
      <x:c r="H7" s="30" t="n">
        <x:f>E7*'Assumptions'!$E$4</x:f>
        <x:v>11.200000000000001</x:v>
      </x:c>
      <x:c r="I7" s="30" t="n">
        <x:f>C7*'Assumptions'!$F$4</x:f>
        <x:v>6</x:v>
      </x:c>
      <x:c r="J7" s="30" t="n">
        <x:f>C7*'Assumptions'!$G$4</x:f>
        <x:v>0</x:v>
      </x:c>
      <x:c r="K7" s="30" t="n">
        <x:f>E7*'Assumptions'!$H$4</x:f>
        <x:v>8.4</x:v>
      </x:c>
      <x:c r="L7" s="30" t="n">
        <x:f>IF($A7="Base",'Assumptions'!$B$12,IF($A7="Conservador",'Assumptions'!$B$12*0.5,'Assumptions'!$B$12*1.8))</x:f>
        <x:v>50</x:v>
      </x:c>
      <x:c r="M7" s="30" t="n">
        <x:f>IF($A7="Base",'Assumptions'!$B$13,IF($A7="Conservador",'Assumptions'!$B$13*0.67,'Assumptions'!$B$13*1.33))</x:f>
        <x:v>50.25</x:v>
      </x:c>
      <x:c r="N7" s="34" t="n">
        <x:f>G7-H7-I7-J7-K7-L7-M7</x:f>
        <x:v>-41.85</x:v>
      </x:c>
      <x:c r="O7" s="34" t="n">
        <x:f>N7</x:f>
        <x:v>-41.85</x:v>
      </x:c>
    </x:row>
    <x:row r="8">
      <x:c r="A8" s="5" t="str">
        <x:v>Conservador</x:v>
      </x:c>
      <x:c r="B8" s="32" t="n">
        <x:v>5</x:v>
      </x:c>
      <x:c r="C8" s="31" t="n">
        <x:f>'Assumptions'!$B$4</x:f>
        <x:v>8</x:v>
      </x:c>
      <x:c r="D8" s="30" t="n">
        <x:f>'Assumptions'!$C$4</x:f>
        <x:v>35</x:v>
      </x:c>
      <x:c r="E8" s="30" t="n">
        <x:f>C8*D8</x:f>
        <x:v>280</x:v>
      </x:c>
      <x:c r="F8" s="30" t="n">
        <x:f>E8*(1-'Assumptions'!$D$4)</x:f>
        <x:v>196</x:v>
      </x:c>
      <x:c r="G8" s="30" t="n">
        <x:f>E8-F8</x:f>
        <x:v>84</x:v>
      </x:c>
      <x:c r="H8" s="30" t="n">
        <x:f>E8*'Assumptions'!$E$4</x:f>
        <x:v>11.200000000000001</x:v>
      </x:c>
      <x:c r="I8" s="30" t="n">
        <x:f>C8*'Assumptions'!$F$4</x:f>
        <x:v>6</x:v>
      </x:c>
      <x:c r="J8" s="30" t="n">
        <x:f>C8*'Assumptions'!$G$4</x:f>
        <x:v>0</x:v>
      </x:c>
      <x:c r="K8" s="30" t="n">
        <x:f>E8*'Assumptions'!$H$4</x:f>
        <x:v>8.4</x:v>
      </x:c>
      <x:c r="L8" s="30" t="n">
        <x:f>IF($A8="Base",'Assumptions'!$B$12,IF($A8="Conservador",'Assumptions'!$B$12*0.5,'Assumptions'!$B$12*1.8))</x:f>
        <x:v>50</x:v>
      </x:c>
      <x:c r="M8" s="30" t="n">
        <x:f>IF($A8="Base",'Assumptions'!$B$13,IF($A8="Conservador",'Assumptions'!$B$13*0.67,'Assumptions'!$B$13*1.33))</x:f>
        <x:v>50.25</x:v>
      </x:c>
      <x:c r="N8" s="34" t="n">
        <x:f>G8-H8-I8-J8-K8-L8-M8</x:f>
        <x:v>-41.85</x:v>
      </x:c>
      <x:c r="O8" s="34" t="n">
        <x:f>N8</x:f>
        <x:v>-41.85</x:v>
      </x:c>
    </x:row>
    <x:row r="9">
      <x:c r="A9" s="5" t="str">
        <x:v>Conservador</x:v>
      </x:c>
      <x:c r="B9" s="32" t="n">
        <x:v>6</x:v>
      </x:c>
      <x:c r="C9" s="31" t="n">
        <x:f>'Assumptions'!$B$4</x:f>
        <x:v>8</x:v>
      </x:c>
      <x:c r="D9" s="30" t="n">
        <x:f>'Assumptions'!$C$4</x:f>
        <x:v>35</x:v>
      </x:c>
      <x:c r="E9" s="30" t="n">
        <x:f>C9*D9</x:f>
        <x:v>280</x:v>
      </x:c>
      <x:c r="F9" s="30" t="n">
        <x:f>E9*(1-'Assumptions'!$D$4)</x:f>
        <x:v>196</x:v>
      </x:c>
      <x:c r="G9" s="30" t="n">
        <x:f>E9-F9</x:f>
        <x:v>84</x:v>
      </x:c>
      <x:c r="H9" s="30" t="n">
        <x:f>E9*'Assumptions'!$E$4</x:f>
        <x:v>11.200000000000001</x:v>
      </x:c>
      <x:c r="I9" s="30" t="n">
        <x:f>C9*'Assumptions'!$F$4</x:f>
        <x:v>6</x:v>
      </x:c>
      <x:c r="J9" s="30" t="n">
        <x:f>C9*'Assumptions'!$G$4</x:f>
        <x:v>0</x:v>
      </x:c>
      <x:c r="K9" s="30" t="n">
        <x:f>E9*'Assumptions'!$H$4</x:f>
        <x:v>8.4</x:v>
      </x:c>
      <x:c r="L9" s="30" t="n">
        <x:f>IF($A9="Base",'Assumptions'!$B$12,IF($A9="Conservador",'Assumptions'!$B$12*0.5,'Assumptions'!$B$12*1.8))</x:f>
        <x:v>50</x:v>
      </x:c>
      <x:c r="M9" s="30" t="n">
        <x:f>IF($A9="Base",'Assumptions'!$B$13,IF($A9="Conservador",'Assumptions'!$B$13*0.67,'Assumptions'!$B$13*1.33))</x:f>
        <x:v>50.25</x:v>
      </x:c>
      <x:c r="N9" s="34" t="n">
        <x:f>G9-H9-I9-J9-K9-L9-M9</x:f>
        <x:v>-41.85</x:v>
      </x:c>
      <x:c r="O9" s="34" t="n">
        <x:f>N9</x:f>
        <x:v>-41.85</x:v>
      </x:c>
    </x:row>
    <x:row r="10">
      <x:c r="A10" s="5" t="str">
        <x:v>Conservador</x:v>
      </x:c>
      <x:c r="B10" s="32" t="n">
        <x:v>7</x:v>
      </x:c>
      <x:c r="C10" s="31" t="n">
        <x:f>'Assumptions'!$B$4</x:f>
        <x:v>8</x:v>
      </x:c>
      <x:c r="D10" s="30" t="n">
        <x:f>'Assumptions'!$C$4</x:f>
        <x:v>35</x:v>
      </x:c>
      <x:c r="E10" s="30" t="n">
        <x:f>C10*D10</x:f>
        <x:v>280</x:v>
      </x:c>
      <x:c r="F10" s="30" t="n">
        <x:f>E10*(1-'Assumptions'!$D$4)</x:f>
        <x:v>196</x:v>
      </x:c>
      <x:c r="G10" s="30" t="n">
        <x:f>E10-F10</x:f>
        <x:v>84</x:v>
      </x:c>
      <x:c r="H10" s="30" t="n">
        <x:f>E10*'Assumptions'!$E$4</x:f>
        <x:v>11.200000000000001</x:v>
      </x:c>
      <x:c r="I10" s="30" t="n">
        <x:f>C10*'Assumptions'!$F$4</x:f>
        <x:v>6</x:v>
      </x:c>
      <x:c r="J10" s="30" t="n">
        <x:f>C10*'Assumptions'!$G$4</x:f>
        <x:v>0</x:v>
      </x:c>
      <x:c r="K10" s="30" t="n">
        <x:f>E10*'Assumptions'!$H$4</x:f>
        <x:v>8.4</x:v>
      </x:c>
      <x:c r="L10" s="30" t="n">
        <x:f>IF($A10="Base",'Assumptions'!$B$12,IF($A10="Conservador",'Assumptions'!$B$12*0.5,'Assumptions'!$B$12*1.8))</x:f>
        <x:v>50</x:v>
      </x:c>
      <x:c r="M10" s="30" t="n">
        <x:f>IF($A10="Base",'Assumptions'!$B$13,IF($A10="Conservador",'Assumptions'!$B$13*0.67,'Assumptions'!$B$13*1.33))</x:f>
        <x:v>50.25</x:v>
      </x:c>
      <x:c r="N10" s="34" t="n">
        <x:f>G10-H10-I10-J10-K10-L10-M10</x:f>
        <x:v>-41.85</x:v>
      </x:c>
      <x:c r="O10" s="34" t="n">
        <x:f>N10</x:f>
        <x:v>-41.85</x:v>
      </x:c>
    </x:row>
    <x:row r="11">
      <x:c r="A11" s="5" t="str">
        <x:v>Conservador</x:v>
      </x:c>
      <x:c r="B11" s="32" t="n">
        <x:v>8</x:v>
      </x:c>
      <x:c r="C11" s="31" t="n">
        <x:f>'Assumptions'!$B$4</x:f>
        <x:v>8</x:v>
      </x:c>
      <x:c r="D11" s="30" t="n">
        <x:f>'Assumptions'!$C$4</x:f>
        <x:v>35</x:v>
      </x:c>
      <x:c r="E11" s="30" t="n">
        <x:f>C11*D11</x:f>
        <x:v>280</x:v>
      </x:c>
      <x:c r="F11" s="30" t="n">
        <x:f>E11*(1-'Assumptions'!$D$4)</x:f>
        <x:v>196</x:v>
      </x:c>
      <x:c r="G11" s="30" t="n">
        <x:f>E11-F11</x:f>
        <x:v>84</x:v>
      </x:c>
      <x:c r="H11" s="30" t="n">
        <x:f>E11*'Assumptions'!$E$4</x:f>
        <x:v>11.200000000000001</x:v>
      </x:c>
      <x:c r="I11" s="30" t="n">
        <x:f>C11*'Assumptions'!$F$4</x:f>
        <x:v>6</x:v>
      </x:c>
      <x:c r="J11" s="30" t="n">
        <x:f>C11*'Assumptions'!$G$4</x:f>
        <x:v>0</x:v>
      </x:c>
      <x:c r="K11" s="30" t="n">
        <x:f>E11*'Assumptions'!$H$4</x:f>
        <x:v>8.4</x:v>
      </x:c>
      <x:c r="L11" s="30" t="n">
        <x:f>IF($A11="Base",'Assumptions'!$B$12,IF($A11="Conservador",'Assumptions'!$B$12*0.5,'Assumptions'!$B$12*1.8))</x:f>
        <x:v>50</x:v>
      </x:c>
      <x:c r="M11" s="30" t="n">
        <x:f>IF($A11="Base",'Assumptions'!$B$13,IF($A11="Conservador",'Assumptions'!$B$13*0.67,'Assumptions'!$B$13*1.33))</x:f>
        <x:v>50.25</x:v>
      </x:c>
      <x:c r="N11" s="34" t="n">
        <x:f>G11-H11-I11-J11-K11-L11-M11</x:f>
        <x:v>-41.85</x:v>
      </x:c>
      <x:c r="O11" s="34" t="n">
        <x:f>N11</x:f>
        <x:v>-41.85</x:v>
      </x:c>
    </x:row>
    <x:row r="12">
      <x:c r="A12" s="5" t="str">
        <x:v>Conservador</x:v>
      </x:c>
      <x:c r="B12" s="32" t="n">
        <x:v>9</x:v>
      </x:c>
      <x:c r="C12" s="31" t="n">
        <x:f>'Assumptions'!$B$4</x:f>
        <x:v>8</x:v>
      </x:c>
      <x:c r="D12" s="30" t="n">
        <x:f>'Assumptions'!$C$4</x:f>
        <x:v>35</x:v>
      </x:c>
      <x:c r="E12" s="30" t="n">
        <x:f>C12*D12</x:f>
        <x:v>280</x:v>
      </x:c>
      <x:c r="F12" s="30" t="n">
        <x:f>E12*(1-'Assumptions'!$D$4)</x:f>
        <x:v>196</x:v>
      </x:c>
      <x:c r="G12" s="30" t="n">
        <x:f>E12-F12</x:f>
        <x:v>84</x:v>
      </x:c>
      <x:c r="H12" s="30" t="n">
        <x:f>E12*'Assumptions'!$E$4</x:f>
        <x:v>11.200000000000001</x:v>
      </x:c>
      <x:c r="I12" s="30" t="n">
        <x:f>C12*'Assumptions'!$F$4</x:f>
        <x:v>6</x:v>
      </x:c>
      <x:c r="J12" s="30" t="n">
        <x:f>C12*'Assumptions'!$G$4</x:f>
        <x:v>0</x:v>
      </x:c>
      <x:c r="K12" s="30" t="n">
        <x:f>E12*'Assumptions'!$H$4</x:f>
        <x:v>8.4</x:v>
      </x:c>
      <x:c r="L12" s="30" t="n">
        <x:f>IF($A12="Base",'Assumptions'!$B$12,IF($A12="Conservador",'Assumptions'!$B$12*0.5,'Assumptions'!$B$12*1.8))</x:f>
        <x:v>50</x:v>
      </x:c>
      <x:c r="M12" s="30" t="n">
        <x:f>IF($A12="Base",'Assumptions'!$B$13,IF($A12="Conservador",'Assumptions'!$B$13*0.67,'Assumptions'!$B$13*1.33))</x:f>
        <x:v>50.25</x:v>
      </x:c>
      <x:c r="N12" s="34" t="n">
        <x:f>G12-H12-I12-J12-K12-L12-M12</x:f>
        <x:v>-41.85</x:v>
      </x:c>
      <x:c r="O12" s="34" t="n">
        <x:f>N12</x:f>
        <x:v>-41.85</x:v>
      </x:c>
    </x:row>
    <x:row r="13">
      <x:c r="A13" s="5" t="str">
        <x:v>Conservador</x:v>
      </x:c>
      <x:c r="B13" s="32" t="n">
        <x:v>10</x:v>
      </x:c>
      <x:c r="C13" s="31" t="n">
        <x:f>'Assumptions'!$B$4</x:f>
        <x:v>8</x:v>
      </x:c>
      <x:c r="D13" s="30" t="n">
        <x:f>'Assumptions'!$C$4</x:f>
        <x:v>35</x:v>
      </x:c>
      <x:c r="E13" s="30" t="n">
        <x:f>C13*D13</x:f>
        <x:v>280</x:v>
      </x:c>
      <x:c r="F13" s="30" t="n">
        <x:f>E13*(1-'Assumptions'!$D$4)</x:f>
        <x:v>196</x:v>
      </x:c>
      <x:c r="G13" s="30" t="n">
        <x:f>E13-F13</x:f>
        <x:v>84</x:v>
      </x:c>
      <x:c r="H13" s="30" t="n">
        <x:f>E13*'Assumptions'!$E$4</x:f>
        <x:v>11.200000000000001</x:v>
      </x:c>
      <x:c r="I13" s="30" t="n">
        <x:f>C13*'Assumptions'!$F$4</x:f>
        <x:v>6</x:v>
      </x:c>
      <x:c r="J13" s="30" t="n">
        <x:f>C13*'Assumptions'!$G$4</x:f>
        <x:v>0</x:v>
      </x:c>
      <x:c r="K13" s="30" t="n">
        <x:f>E13*'Assumptions'!$H$4</x:f>
        <x:v>8.4</x:v>
      </x:c>
      <x:c r="L13" s="30" t="n">
        <x:f>IF($A13="Base",'Assumptions'!$B$12,IF($A13="Conservador",'Assumptions'!$B$12*0.5,'Assumptions'!$B$12*1.8))</x:f>
        <x:v>50</x:v>
      </x:c>
      <x:c r="M13" s="30" t="n">
        <x:f>IF($A13="Base",'Assumptions'!$B$13,IF($A13="Conservador",'Assumptions'!$B$13*0.67,'Assumptions'!$B$13*1.33))</x:f>
        <x:v>50.25</x:v>
      </x:c>
      <x:c r="N13" s="34" t="n">
        <x:f>G13-H13-I13-J13-K13-L13-M13</x:f>
        <x:v>-41.85</x:v>
      </x:c>
      <x:c r="O13" s="34" t="n">
        <x:f>N13</x:f>
        <x:v>-41.85</x:v>
      </x:c>
    </x:row>
    <x:row r="14">
      <x:c r="A14" s="5" t="str">
        <x:v>Conservador</x:v>
      </x:c>
      <x:c r="B14" s="32" t="n">
        <x:v>11</x:v>
      </x:c>
      <x:c r="C14" s="31" t="n">
        <x:f>'Assumptions'!$B$4</x:f>
        <x:v>8</x:v>
      </x:c>
      <x:c r="D14" s="30" t="n">
        <x:f>'Assumptions'!$C$4</x:f>
        <x:v>35</x:v>
      </x:c>
      <x:c r="E14" s="30" t="n">
        <x:f>C14*D14</x:f>
        <x:v>280</x:v>
      </x:c>
      <x:c r="F14" s="30" t="n">
        <x:f>E14*(1-'Assumptions'!$D$4)</x:f>
        <x:v>196</x:v>
      </x:c>
      <x:c r="G14" s="30" t="n">
        <x:f>E14-F14</x:f>
        <x:v>84</x:v>
      </x:c>
      <x:c r="H14" s="30" t="n">
        <x:f>E14*'Assumptions'!$E$4</x:f>
        <x:v>11.200000000000001</x:v>
      </x:c>
      <x:c r="I14" s="30" t="n">
        <x:f>C14*'Assumptions'!$F$4</x:f>
        <x:v>6</x:v>
      </x:c>
      <x:c r="J14" s="30" t="n">
        <x:f>C14*'Assumptions'!$G$4</x:f>
        <x:v>0</x:v>
      </x:c>
      <x:c r="K14" s="30" t="n">
        <x:f>E14*'Assumptions'!$H$4</x:f>
        <x:v>8.4</x:v>
      </x:c>
      <x:c r="L14" s="30" t="n">
        <x:f>IF($A14="Base",'Assumptions'!$B$12,IF($A14="Conservador",'Assumptions'!$B$12*0.5,'Assumptions'!$B$12*1.8))</x:f>
        <x:v>50</x:v>
      </x:c>
      <x:c r="M14" s="30" t="n">
        <x:f>IF($A14="Base",'Assumptions'!$B$13,IF($A14="Conservador",'Assumptions'!$B$13*0.67,'Assumptions'!$B$13*1.33))</x:f>
        <x:v>50.25</x:v>
      </x:c>
      <x:c r="N14" s="34" t="n">
        <x:f>G14-H14-I14-J14-K14-L14-M14</x:f>
        <x:v>-41.85</x:v>
      </x:c>
      <x:c r="O14" s="34" t="n">
        <x:f>N14</x:f>
        <x:v>-41.85</x:v>
      </x:c>
    </x:row>
    <x:row r="15">
      <x:c r="A15" s="5" t="str">
        <x:v>Conservador</x:v>
      </x:c>
      <x:c r="B15" s="32" t="n">
        <x:v>12</x:v>
      </x:c>
      <x:c r="C15" s="31" t="n">
        <x:f>'Assumptions'!$B$4</x:f>
        <x:v>8</x:v>
      </x:c>
      <x:c r="D15" s="30" t="n">
        <x:f>'Assumptions'!$C$4</x:f>
        <x:v>35</x:v>
      </x:c>
      <x:c r="E15" s="30" t="n">
        <x:f>C15*D15</x:f>
        <x:v>280</x:v>
      </x:c>
      <x:c r="F15" s="30" t="n">
        <x:f>E15*(1-'Assumptions'!$D$4)</x:f>
        <x:v>196</x:v>
      </x:c>
      <x:c r="G15" s="30" t="n">
        <x:f>E15-F15</x:f>
        <x:v>84</x:v>
      </x:c>
      <x:c r="H15" s="30" t="n">
        <x:f>E15*'Assumptions'!$E$4</x:f>
        <x:v>11.200000000000001</x:v>
      </x:c>
      <x:c r="I15" s="30" t="n">
        <x:f>C15*'Assumptions'!$F$4</x:f>
        <x:v>6</x:v>
      </x:c>
      <x:c r="J15" s="30" t="n">
        <x:f>C15*'Assumptions'!$G$4</x:f>
        <x:v>0</x:v>
      </x:c>
      <x:c r="K15" s="30" t="n">
        <x:f>E15*'Assumptions'!$H$4</x:f>
        <x:v>8.4</x:v>
      </x:c>
      <x:c r="L15" s="30" t="n">
        <x:f>IF($A15="Base",'Assumptions'!$B$12,IF($A15="Conservador",'Assumptions'!$B$12*0.5,'Assumptions'!$B$12*1.8))</x:f>
        <x:v>50</x:v>
      </x:c>
      <x:c r="M15" s="30" t="n">
        <x:f>IF($A15="Base",'Assumptions'!$B$13,IF($A15="Conservador",'Assumptions'!$B$13*0.67,'Assumptions'!$B$13*1.33))</x:f>
        <x:v>50.25</x:v>
      </x:c>
      <x:c r="N15" s="34" t="n">
        <x:f>G15-H15-I15-J15-K15-L15-M15</x:f>
        <x:v>-41.85</x:v>
      </x:c>
      <x:c r="O15" s="34" t="n">
        <x:f>N15</x:f>
        <x:v>-41.85</x:v>
      </x:c>
    </x:row>
    <x:row r="16">
      <x:c r="A16" s="5" t="str">
        <x:v>Base</x:v>
      </x:c>
      <x:c r="B16" s="32" t="n">
        <x:v>1</x:v>
      </x:c>
      <x:c r="C16" s="31" t="n">
        <x:f>'Assumptions'!$B$5</x:f>
        <x:v>20</x:v>
      </x:c>
      <x:c r="D16" s="30" t="n">
        <x:f>'Assumptions'!$C$5</x:f>
        <x:v>45</x:v>
      </x:c>
      <x:c r="E16" s="30" t="n">
        <x:f>C16*D16</x:f>
        <x:v>900</x:v>
      </x:c>
      <x:c r="F16" s="30" t="n">
        <x:f>E16*(1-'Assumptions'!$D$5)</x:f>
        <x:v>585</x:v>
      </x:c>
      <x:c r="G16" s="30" t="n">
        <x:f>E16-F16</x:f>
        <x:v>315</x:v>
      </x:c>
      <x:c r="H16" s="30" t="n">
        <x:f>E16*'Assumptions'!$E$5</x:f>
        <x:v>36</x:v>
      </x:c>
      <x:c r="I16" s="30" t="n">
        <x:f>C16*'Assumptions'!$F$5</x:f>
        <x:v>15</x:v>
      </x:c>
      <x:c r="J16" s="30" t="n">
        <x:f>C16*'Assumptions'!$G$5</x:f>
        <x:v>0</x:v>
      </x:c>
      <x:c r="K16" s="30" t="n">
        <x:f>E16*'Assumptions'!$H$5</x:f>
        <x:v>45</x:v>
      </x:c>
      <x:c r="L16" s="30" t="n">
        <x:f>IF($A16="Base",'Assumptions'!$B$12,IF($A16="Conservador",'Assumptions'!$B$12*0.5,'Assumptions'!$B$12*1.8))</x:f>
        <x:v>100</x:v>
      </x:c>
      <x:c r="M16" s="30" t="n">
        <x:f>IF($A16="Base",'Assumptions'!$B$13,IF($A16="Conservador",'Assumptions'!$B$13*0.67,'Assumptions'!$B$13*1.33))</x:f>
        <x:v>75</x:v>
      </x:c>
      <x:c r="N16" s="34" t="n">
        <x:f>G16-H16-I16-J16-K16-L16-M16</x:f>
        <x:v>44</x:v>
      </x:c>
      <x:c r="O16" s="34" t="n">
        <x:f>N16</x:f>
        <x:v>44</x:v>
      </x:c>
    </x:row>
    <x:row r="17">
      <x:c r="A17" s="5" t="str">
        <x:v>Base</x:v>
      </x:c>
      <x:c r="B17" s="32" t="n">
        <x:v>2</x:v>
      </x:c>
      <x:c r="C17" s="31" t="n">
        <x:f>'Assumptions'!$B$5</x:f>
        <x:v>20</x:v>
      </x:c>
      <x:c r="D17" s="30" t="n">
        <x:f>'Assumptions'!$C$5</x:f>
        <x:v>45</x:v>
      </x:c>
      <x:c r="E17" s="30" t="n">
        <x:f>C17*D17</x:f>
        <x:v>900</x:v>
      </x:c>
      <x:c r="F17" s="30" t="n">
        <x:f>E17*(1-'Assumptions'!$D$5)</x:f>
        <x:v>585</x:v>
      </x:c>
      <x:c r="G17" s="30" t="n">
        <x:f>E17-F17</x:f>
        <x:v>315</x:v>
      </x:c>
      <x:c r="H17" s="30" t="n">
        <x:f>E17*'Assumptions'!$E$5</x:f>
        <x:v>36</x:v>
      </x:c>
      <x:c r="I17" s="30" t="n">
        <x:f>C17*'Assumptions'!$F$5</x:f>
        <x:v>15</x:v>
      </x:c>
      <x:c r="J17" s="30" t="n">
        <x:f>C17*'Assumptions'!$G$5</x:f>
        <x:v>0</x:v>
      </x:c>
      <x:c r="K17" s="30" t="n">
        <x:f>E17*'Assumptions'!$H$5</x:f>
        <x:v>45</x:v>
      </x:c>
      <x:c r="L17" s="30" t="n">
        <x:f>IF($A17="Base",'Assumptions'!$B$12,IF($A17="Conservador",'Assumptions'!$B$12*0.5,'Assumptions'!$B$12*1.8))</x:f>
        <x:v>100</x:v>
      </x:c>
      <x:c r="M17" s="30" t="n">
        <x:f>IF($A17="Base",'Assumptions'!$B$13,IF($A17="Conservador",'Assumptions'!$B$13*0.67,'Assumptions'!$B$13*1.33))</x:f>
        <x:v>75</x:v>
      </x:c>
      <x:c r="N17" s="34" t="n">
        <x:f>G17-H17-I17-J17-K17-L17-M17</x:f>
        <x:v>44</x:v>
      </x:c>
      <x:c r="O17" s="34" t="n">
        <x:f>N17</x:f>
        <x:v>44</x:v>
      </x:c>
    </x:row>
    <x:row r="18">
      <x:c r="A18" s="5" t="str">
        <x:v>Base</x:v>
      </x:c>
      <x:c r="B18" s="32" t="n">
        <x:v>3</x:v>
      </x:c>
      <x:c r="C18" s="31" t="n">
        <x:f>'Assumptions'!$B$5</x:f>
        <x:v>20</x:v>
      </x:c>
      <x:c r="D18" s="30" t="n">
        <x:f>'Assumptions'!$C$5</x:f>
        <x:v>45</x:v>
      </x:c>
      <x:c r="E18" s="30" t="n">
        <x:f>C18*D18</x:f>
        <x:v>900</x:v>
      </x:c>
      <x:c r="F18" s="30" t="n">
        <x:f>E18*(1-'Assumptions'!$D$5)</x:f>
        <x:v>585</x:v>
      </x:c>
      <x:c r="G18" s="30" t="n">
        <x:f>E18-F18</x:f>
        <x:v>315</x:v>
      </x:c>
      <x:c r="H18" s="30" t="n">
        <x:f>E18*'Assumptions'!$E$5</x:f>
        <x:v>36</x:v>
      </x:c>
      <x:c r="I18" s="30" t="n">
        <x:f>C18*'Assumptions'!$F$5</x:f>
        <x:v>15</x:v>
      </x:c>
      <x:c r="J18" s="30" t="n">
        <x:f>C18*'Assumptions'!$G$5</x:f>
        <x:v>0</x:v>
      </x:c>
      <x:c r="K18" s="30" t="n">
        <x:f>E18*'Assumptions'!$H$5</x:f>
        <x:v>45</x:v>
      </x:c>
      <x:c r="L18" s="30" t="n">
        <x:f>IF($A18="Base",'Assumptions'!$B$12,IF($A18="Conservador",'Assumptions'!$B$12*0.5,'Assumptions'!$B$12*1.8))</x:f>
        <x:v>100</x:v>
      </x:c>
      <x:c r="M18" s="30" t="n">
        <x:f>IF($A18="Base",'Assumptions'!$B$13,IF($A18="Conservador",'Assumptions'!$B$13*0.67,'Assumptions'!$B$13*1.33))</x:f>
        <x:v>75</x:v>
      </x:c>
      <x:c r="N18" s="34" t="n">
        <x:f>G18-H18-I18-J18-K18-L18-M18</x:f>
        <x:v>44</x:v>
      </x:c>
      <x:c r="O18" s="34" t="n">
        <x:f>N18</x:f>
        <x:v>44</x:v>
      </x:c>
    </x:row>
    <x:row r="19">
      <x:c r="A19" s="5" t="str">
        <x:v>Base</x:v>
      </x:c>
      <x:c r="B19" s="32" t="n">
        <x:v>4</x:v>
      </x:c>
      <x:c r="C19" s="31" t="n">
        <x:f>'Assumptions'!$B$5</x:f>
        <x:v>20</x:v>
      </x:c>
      <x:c r="D19" s="30" t="n">
        <x:f>'Assumptions'!$C$5</x:f>
        <x:v>45</x:v>
      </x:c>
      <x:c r="E19" s="30" t="n">
        <x:f>C19*D19</x:f>
        <x:v>900</x:v>
      </x:c>
      <x:c r="F19" s="30" t="n">
        <x:f>E19*(1-'Assumptions'!$D$5)</x:f>
        <x:v>585</x:v>
      </x:c>
      <x:c r="G19" s="30" t="n">
        <x:f>E19-F19</x:f>
        <x:v>315</x:v>
      </x:c>
      <x:c r="H19" s="30" t="n">
        <x:f>E19*'Assumptions'!$E$5</x:f>
        <x:v>36</x:v>
      </x:c>
      <x:c r="I19" s="30" t="n">
        <x:f>C19*'Assumptions'!$F$5</x:f>
        <x:v>15</x:v>
      </x:c>
      <x:c r="J19" s="30" t="n">
        <x:f>C19*'Assumptions'!$G$5</x:f>
        <x:v>0</x:v>
      </x:c>
      <x:c r="K19" s="30" t="n">
        <x:f>E19*'Assumptions'!$H$5</x:f>
        <x:v>45</x:v>
      </x:c>
      <x:c r="L19" s="30" t="n">
        <x:f>IF($A19="Base",'Assumptions'!$B$12,IF($A19="Conservador",'Assumptions'!$B$12*0.5,'Assumptions'!$B$12*1.8))</x:f>
        <x:v>100</x:v>
      </x:c>
      <x:c r="M19" s="30" t="n">
        <x:f>IF($A19="Base",'Assumptions'!$B$13,IF($A19="Conservador",'Assumptions'!$B$13*0.67,'Assumptions'!$B$13*1.33))</x:f>
        <x:v>75</x:v>
      </x:c>
      <x:c r="N19" s="34" t="n">
        <x:f>G19-H19-I19-J19-K19-L19-M19</x:f>
        <x:v>44</x:v>
      </x:c>
      <x:c r="O19" s="34" t="n">
        <x:f>N19</x:f>
        <x:v>44</x:v>
      </x:c>
    </x:row>
    <x:row r="20">
      <x:c r="A20" s="5" t="str">
        <x:v>Base</x:v>
      </x:c>
      <x:c r="B20" s="32" t="n">
        <x:v>5</x:v>
      </x:c>
      <x:c r="C20" s="31" t="n">
        <x:f>'Assumptions'!$B$5</x:f>
        <x:v>20</x:v>
      </x:c>
      <x:c r="D20" s="30" t="n">
        <x:f>'Assumptions'!$C$5</x:f>
        <x:v>45</x:v>
      </x:c>
      <x:c r="E20" s="30" t="n">
        <x:f>C20*D20</x:f>
        <x:v>900</x:v>
      </x:c>
      <x:c r="F20" s="30" t="n">
        <x:f>E20*(1-'Assumptions'!$D$5)</x:f>
        <x:v>585</x:v>
      </x:c>
      <x:c r="G20" s="30" t="n">
        <x:f>E20-F20</x:f>
        <x:v>315</x:v>
      </x:c>
      <x:c r="H20" s="30" t="n">
        <x:f>E20*'Assumptions'!$E$5</x:f>
        <x:v>36</x:v>
      </x:c>
      <x:c r="I20" s="30" t="n">
        <x:f>C20*'Assumptions'!$F$5</x:f>
        <x:v>15</x:v>
      </x:c>
      <x:c r="J20" s="30" t="n">
        <x:f>C20*'Assumptions'!$G$5</x:f>
        <x:v>0</x:v>
      </x:c>
      <x:c r="K20" s="30" t="n">
        <x:f>E20*'Assumptions'!$H$5</x:f>
        <x:v>45</x:v>
      </x:c>
      <x:c r="L20" s="30" t="n">
        <x:f>IF($A20="Base",'Assumptions'!$B$12,IF($A20="Conservador",'Assumptions'!$B$12*0.5,'Assumptions'!$B$12*1.8))</x:f>
        <x:v>100</x:v>
      </x:c>
      <x:c r="M20" s="30" t="n">
        <x:f>IF($A20="Base",'Assumptions'!$B$13,IF($A20="Conservador",'Assumptions'!$B$13*0.67,'Assumptions'!$B$13*1.33))</x:f>
        <x:v>75</x:v>
      </x:c>
      <x:c r="N20" s="34" t="n">
        <x:f>G20-H20-I20-J20-K20-L20-M20</x:f>
        <x:v>44</x:v>
      </x:c>
      <x:c r="O20" s="34" t="n">
        <x:f>N20</x:f>
        <x:v>44</x:v>
      </x:c>
    </x:row>
    <x:row r="21">
      <x:c r="A21" s="5" t="str">
        <x:v>Base</x:v>
      </x:c>
      <x:c r="B21" s="32" t="n">
        <x:v>6</x:v>
      </x:c>
      <x:c r="C21" s="31" t="n">
        <x:f>'Assumptions'!$B$5</x:f>
        <x:v>20</x:v>
      </x:c>
      <x:c r="D21" s="30" t="n">
        <x:f>'Assumptions'!$C$5</x:f>
        <x:v>45</x:v>
      </x:c>
      <x:c r="E21" s="30" t="n">
        <x:f>C21*D21</x:f>
        <x:v>900</x:v>
      </x:c>
      <x:c r="F21" s="30" t="n">
        <x:f>E21*(1-'Assumptions'!$D$5)</x:f>
        <x:v>585</x:v>
      </x:c>
      <x:c r="G21" s="30" t="n">
        <x:f>E21-F21</x:f>
        <x:v>315</x:v>
      </x:c>
      <x:c r="H21" s="30" t="n">
        <x:f>E21*'Assumptions'!$E$5</x:f>
        <x:v>36</x:v>
      </x:c>
      <x:c r="I21" s="30" t="n">
        <x:f>C21*'Assumptions'!$F$5</x:f>
        <x:v>15</x:v>
      </x:c>
      <x:c r="J21" s="30" t="n">
        <x:f>C21*'Assumptions'!$G$5</x:f>
        <x:v>0</x:v>
      </x:c>
      <x:c r="K21" s="30" t="n">
        <x:f>E21*'Assumptions'!$H$5</x:f>
        <x:v>45</x:v>
      </x:c>
      <x:c r="L21" s="30" t="n">
        <x:f>IF($A21="Base",'Assumptions'!$B$12,IF($A21="Conservador",'Assumptions'!$B$12*0.5,'Assumptions'!$B$12*1.8))</x:f>
        <x:v>100</x:v>
      </x:c>
      <x:c r="M21" s="30" t="n">
        <x:f>IF($A21="Base",'Assumptions'!$B$13,IF($A21="Conservador",'Assumptions'!$B$13*0.67,'Assumptions'!$B$13*1.33))</x:f>
        <x:v>75</x:v>
      </x:c>
      <x:c r="N21" s="34" t="n">
        <x:f>G21-H21-I21-J21-K21-L21-M21</x:f>
        <x:v>44</x:v>
      </x:c>
      <x:c r="O21" s="34" t="n">
        <x:f>N21</x:f>
        <x:v>44</x:v>
      </x:c>
    </x:row>
    <x:row r="22">
      <x:c r="A22" s="5" t="str">
        <x:v>Base</x:v>
      </x:c>
      <x:c r="B22" s="32" t="n">
        <x:v>7</x:v>
      </x:c>
      <x:c r="C22" s="31" t="n">
        <x:f>'Assumptions'!$B$5</x:f>
        <x:v>20</x:v>
      </x:c>
      <x:c r="D22" s="30" t="n">
        <x:f>'Assumptions'!$C$5</x:f>
        <x:v>45</x:v>
      </x:c>
      <x:c r="E22" s="30" t="n">
        <x:f>C22*D22</x:f>
        <x:v>900</x:v>
      </x:c>
      <x:c r="F22" s="30" t="n">
        <x:f>E22*(1-'Assumptions'!$D$5)</x:f>
        <x:v>585</x:v>
      </x:c>
      <x:c r="G22" s="30" t="n">
        <x:f>E22-F22</x:f>
        <x:v>315</x:v>
      </x:c>
      <x:c r="H22" s="30" t="n">
        <x:f>E22*'Assumptions'!$E$5</x:f>
        <x:v>36</x:v>
      </x:c>
      <x:c r="I22" s="30" t="n">
        <x:f>C22*'Assumptions'!$F$5</x:f>
        <x:v>15</x:v>
      </x:c>
      <x:c r="J22" s="30" t="n">
        <x:f>C22*'Assumptions'!$G$5</x:f>
        <x:v>0</x:v>
      </x:c>
      <x:c r="K22" s="30" t="n">
        <x:f>E22*'Assumptions'!$H$5</x:f>
        <x:v>45</x:v>
      </x:c>
      <x:c r="L22" s="30" t="n">
        <x:f>IF($A22="Base",'Assumptions'!$B$12,IF($A22="Conservador",'Assumptions'!$B$12*0.5,'Assumptions'!$B$12*1.8))</x:f>
        <x:v>100</x:v>
      </x:c>
      <x:c r="M22" s="30" t="n">
        <x:f>IF($A22="Base",'Assumptions'!$B$13,IF($A22="Conservador",'Assumptions'!$B$13*0.67,'Assumptions'!$B$13*1.33))</x:f>
        <x:v>75</x:v>
      </x:c>
      <x:c r="N22" s="34" t="n">
        <x:f>G22-H22-I22-J22-K22-L22-M22</x:f>
        <x:v>44</x:v>
      </x:c>
      <x:c r="O22" s="34" t="n">
        <x:f>N22</x:f>
        <x:v>44</x:v>
      </x:c>
    </x:row>
    <x:row r="23">
      <x:c r="A23" s="5" t="str">
        <x:v>Base</x:v>
      </x:c>
      <x:c r="B23" s="32" t="n">
        <x:v>8</x:v>
      </x:c>
      <x:c r="C23" s="31" t="n">
        <x:f>'Assumptions'!$B$5</x:f>
        <x:v>20</x:v>
      </x:c>
      <x:c r="D23" s="30" t="n">
        <x:f>'Assumptions'!$C$5</x:f>
        <x:v>45</x:v>
      </x:c>
      <x:c r="E23" s="30" t="n">
        <x:f>C23*D23</x:f>
        <x:v>900</x:v>
      </x:c>
      <x:c r="F23" s="30" t="n">
        <x:f>E23*(1-'Assumptions'!$D$5)</x:f>
        <x:v>585</x:v>
      </x:c>
      <x:c r="G23" s="30" t="n">
        <x:f>E23-F23</x:f>
        <x:v>315</x:v>
      </x:c>
      <x:c r="H23" s="30" t="n">
        <x:f>E23*'Assumptions'!$E$5</x:f>
        <x:v>36</x:v>
      </x:c>
      <x:c r="I23" s="30" t="n">
        <x:f>C23*'Assumptions'!$F$5</x:f>
        <x:v>15</x:v>
      </x:c>
      <x:c r="J23" s="30" t="n">
        <x:f>C23*'Assumptions'!$G$5</x:f>
        <x:v>0</x:v>
      </x:c>
      <x:c r="K23" s="30" t="n">
        <x:f>E23*'Assumptions'!$H$5</x:f>
        <x:v>45</x:v>
      </x:c>
      <x:c r="L23" s="30" t="n">
        <x:f>IF($A23="Base",'Assumptions'!$B$12,IF($A23="Conservador",'Assumptions'!$B$12*0.5,'Assumptions'!$B$12*1.8))</x:f>
        <x:v>100</x:v>
      </x:c>
      <x:c r="M23" s="30" t="n">
        <x:f>IF($A23="Base",'Assumptions'!$B$13,IF($A23="Conservador",'Assumptions'!$B$13*0.67,'Assumptions'!$B$13*1.33))</x:f>
        <x:v>75</x:v>
      </x:c>
      <x:c r="N23" s="34" t="n">
        <x:f>G23-H23-I23-J23-K23-L23-M23</x:f>
        <x:v>44</x:v>
      </x:c>
      <x:c r="O23" s="34" t="n">
        <x:f>N23</x:f>
        <x:v>44</x:v>
      </x:c>
    </x:row>
    <x:row r="24">
      <x:c r="A24" s="5" t="str">
        <x:v>Base</x:v>
      </x:c>
      <x:c r="B24" s="32" t="n">
        <x:v>9</x:v>
      </x:c>
      <x:c r="C24" s="31" t="n">
        <x:f>'Assumptions'!$B$5</x:f>
        <x:v>20</x:v>
      </x:c>
      <x:c r="D24" s="30" t="n">
        <x:f>'Assumptions'!$C$5</x:f>
        <x:v>45</x:v>
      </x:c>
      <x:c r="E24" s="30" t="n">
        <x:f>C24*D24</x:f>
        <x:v>900</x:v>
      </x:c>
      <x:c r="F24" s="30" t="n">
        <x:f>E24*(1-'Assumptions'!$D$5)</x:f>
        <x:v>585</x:v>
      </x:c>
      <x:c r="G24" s="30" t="n">
        <x:f>E24-F24</x:f>
        <x:v>315</x:v>
      </x:c>
      <x:c r="H24" s="30" t="n">
        <x:f>E24*'Assumptions'!$E$5</x:f>
        <x:v>36</x:v>
      </x:c>
      <x:c r="I24" s="30" t="n">
        <x:f>C24*'Assumptions'!$F$5</x:f>
        <x:v>15</x:v>
      </x:c>
      <x:c r="J24" s="30" t="n">
        <x:f>C24*'Assumptions'!$G$5</x:f>
        <x:v>0</x:v>
      </x:c>
      <x:c r="K24" s="30" t="n">
        <x:f>E24*'Assumptions'!$H$5</x:f>
        <x:v>45</x:v>
      </x:c>
      <x:c r="L24" s="30" t="n">
        <x:f>IF($A24="Base",'Assumptions'!$B$12,IF($A24="Conservador",'Assumptions'!$B$12*0.5,'Assumptions'!$B$12*1.8))</x:f>
        <x:v>100</x:v>
      </x:c>
      <x:c r="M24" s="30" t="n">
        <x:f>IF($A24="Base",'Assumptions'!$B$13,IF($A24="Conservador",'Assumptions'!$B$13*0.67,'Assumptions'!$B$13*1.33))</x:f>
        <x:v>75</x:v>
      </x:c>
      <x:c r="N24" s="34" t="n">
        <x:f>G24-H24-I24-J24-K24-L24-M24</x:f>
        <x:v>44</x:v>
      </x:c>
      <x:c r="O24" s="34" t="n">
        <x:f>N24</x:f>
        <x:v>44</x:v>
      </x:c>
    </x:row>
    <x:row r="25">
      <x:c r="A25" s="5" t="str">
        <x:v>Base</x:v>
      </x:c>
      <x:c r="B25" s="32" t="n">
        <x:v>10</x:v>
      </x:c>
      <x:c r="C25" s="31" t="n">
        <x:f>'Assumptions'!$B$5</x:f>
        <x:v>20</x:v>
      </x:c>
      <x:c r="D25" s="30" t="n">
        <x:f>'Assumptions'!$C$5</x:f>
        <x:v>45</x:v>
      </x:c>
      <x:c r="E25" s="30" t="n">
        <x:f>C25*D25</x:f>
        <x:v>900</x:v>
      </x:c>
      <x:c r="F25" s="30" t="n">
        <x:f>E25*(1-'Assumptions'!$D$5)</x:f>
        <x:v>585</x:v>
      </x:c>
      <x:c r="G25" s="30" t="n">
        <x:f>E25-F25</x:f>
        <x:v>315</x:v>
      </x:c>
      <x:c r="H25" s="30" t="n">
        <x:f>E25*'Assumptions'!$E$5</x:f>
        <x:v>36</x:v>
      </x:c>
      <x:c r="I25" s="30" t="n">
        <x:f>C25*'Assumptions'!$F$5</x:f>
        <x:v>15</x:v>
      </x:c>
      <x:c r="J25" s="30" t="n">
        <x:f>C25*'Assumptions'!$G$5</x:f>
        <x:v>0</x:v>
      </x:c>
      <x:c r="K25" s="30" t="n">
        <x:f>E25*'Assumptions'!$H$5</x:f>
        <x:v>45</x:v>
      </x:c>
      <x:c r="L25" s="30" t="n">
        <x:f>IF($A25="Base",'Assumptions'!$B$12,IF($A25="Conservador",'Assumptions'!$B$12*0.5,'Assumptions'!$B$12*1.8))</x:f>
        <x:v>100</x:v>
      </x:c>
      <x:c r="M25" s="30" t="n">
        <x:f>IF($A25="Base",'Assumptions'!$B$13,IF($A25="Conservador",'Assumptions'!$B$13*0.67,'Assumptions'!$B$13*1.33))</x:f>
        <x:v>75</x:v>
      </x:c>
      <x:c r="N25" s="34" t="n">
        <x:f>G25-H25-I25-J25-K25-L25-M25</x:f>
        <x:v>44</x:v>
      </x:c>
      <x:c r="O25" s="34" t="n">
        <x:f>N25</x:f>
        <x:v>44</x:v>
      </x:c>
    </x:row>
    <x:row r="26">
      <x:c r="A26" s="5" t="str">
        <x:v>Base</x:v>
      </x:c>
      <x:c r="B26" s="32" t="n">
        <x:v>11</x:v>
      </x:c>
      <x:c r="C26" s="31" t="n">
        <x:f>'Assumptions'!$B$5</x:f>
        <x:v>20</x:v>
      </x:c>
      <x:c r="D26" s="30" t="n">
        <x:f>'Assumptions'!$C$5</x:f>
        <x:v>45</x:v>
      </x:c>
      <x:c r="E26" s="30" t="n">
        <x:f>C26*D26</x:f>
        <x:v>900</x:v>
      </x:c>
      <x:c r="F26" s="30" t="n">
        <x:f>E26*(1-'Assumptions'!$D$5)</x:f>
        <x:v>585</x:v>
      </x:c>
      <x:c r="G26" s="30" t="n">
        <x:f>E26-F26</x:f>
        <x:v>315</x:v>
      </x:c>
      <x:c r="H26" s="30" t="n">
        <x:f>E26*'Assumptions'!$E$5</x:f>
        <x:v>36</x:v>
      </x:c>
      <x:c r="I26" s="30" t="n">
        <x:f>C26*'Assumptions'!$F$5</x:f>
        <x:v>15</x:v>
      </x:c>
      <x:c r="J26" s="30" t="n">
        <x:f>C26*'Assumptions'!$G$5</x:f>
        <x:v>0</x:v>
      </x:c>
      <x:c r="K26" s="30" t="n">
        <x:f>E26*'Assumptions'!$H$5</x:f>
        <x:v>45</x:v>
      </x:c>
      <x:c r="L26" s="30" t="n">
        <x:f>IF($A26="Base",'Assumptions'!$B$12,IF($A26="Conservador",'Assumptions'!$B$12*0.5,'Assumptions'!$B$12*1.8))</x:f>
        <x:v>100</x:v>
      </x:c>
      <x:c r="M26" s="30" t="n">
        <x:f>IF($A26="Base",'Assumptions'!$B$13,IF($A26="Conservador",'Assumptions'!$B$13*0.67,'Assumptions'!$B$13*1.33))</x:f>
        <x:v>75</x:v>
      </x:c>
      <x:c r="N26" s="34" t="n">
        <x:f>G26-H26-I26-J26-K26-L26-M26</x:f>
        <x:v>44</x:v>
      </x:c>
      <x:c r="O26" s="34" t="n">
        <x:f>N26</x:f>
        <x:v>44</x:v>
      </x:c>
    </x:row>
    <x:row r="27">
      <x:c r="A27" s="5" t="str">
        <x:v>Base</x:v>
      </x:c>
      <x:c r="B27" s="32" t="n">
        <x:v>12</x:v>
      </x:c>
      <x:c r="C27" s="31" t="n">
        <x:f>'Assumptions'!$B$5</x:f>
        <x:v>20</x:v>
      </x:c>
      <x:c r="D27" s="30" t="n">
        <x:f>'Assumptions'!$C$5</x:f>
        <x:v>45</x:v>
      </x:c>
      <x:c r="E27" s="30" t="n">
        <x:f>C27*D27</x:f>
        <x:v>900</x:v>
      </x:c>
      <x:c r="F27" s="30" t="n">
        <x:f>E27*(1-'Assumptions'!$D$5)</x:f>
        <x:v>585</x:v>
      </x:c>
      <x:c r="G27" s="30" t="n">
        <x:f>E27-F27</x:f>
        <x:v>315</x:v>
      </x:c>
      <x:c r="H27" s="30" t="n">
        <x:f>E27*'Assumptions'!$E$5</x:f>
        <x:v>36</x:v>
      </x:c>
      <x:c r="I27" s="30" t="n">
        <x:f>C27*'Assumptions'!$F$5</x:f>
        <x:v>15</x:v>
      </x:c>
      <x:c r="J27" s="30" t="n">
        <x:f>C27*'Assumptions'!$G$5</x:f>
        <x:v>0</x:v>
      </x:c>
      <x:c r="K27" s="30" t="n">
        <x:f>E27*'Assumptions'!$H$5</x:f>
        <x:v>45</x:v>
      </x:c>
      <x:c r="L27" s="30" t="n">
        <x:f>IF($A27="Base",'Assumptions'!$B$12,IF($A27="Conservador",'Assumptions'!$B$12*0.5,'Assumptions'!$B$12*1.8))</x:f>
        <x:v>100</x:v>
      </x:c>
      <x:c r="M27" s="30" t="n">
        <x:f>IF($A27="Base",'Assumptions'!$B$13,IF($A27="Conservador",'Assumptions'!$B$13*0.67,'Assumptions'!$B$13*1.33))</x:f>
        <x:v>75</x:v>
      </x:c>
      <x:c r="N27" s="34" t="n">
        <x:f>G27-H27-I27-J27-K27-L27-M27</x:f>
        <x:v>44</x:v>
      </x:c>
      <x:c r="O27" s="34" t="n">
        <x:f>N27</x:f>
        <x:v>44</x:v>
      </x:c>
    </x:row>
    <x:row r="28">
      <x:c r="A28" s="5" t="str">
        <x:v>Optimista</x:v>
      </x:c>
      <x:c r="B28" s="32" t="n">
        <x:v>1</x:v>
      </x:c>
      <x:c r="C28" s="31" t="n">
        <x:f>'Assumptions'!$B$6</x:f>
        <x:v>35</x:v>
      </x:c>
      <x:c r="D28" s="30" t="n">
        <x:f>'Assumptions'!$C$6</x:f>
        <x:v>55</x:v>
      </x:c>
      <x:c r="E28" s="30" t="n">
        <x:f>C28*D28</x:f>
        <x:v>1925</x:v>
      </x:c>
      <x:c r="F28" s="30" t="n">
        <x:f>E28*(1-'Assumptions'!$D$6)</x:f>
        <x:v>1155</x:v>
      </x:c>
      <x:c r="G28" s="30" t="n">
        <x:f>E28-F28</x:f>
        <x:v>770</x:v>
      </x:c>
      <x:c r="H28" s="30" t="n">
        <x:f>E28*'Assumptions'!$E$6</x:f>
        <x:v>77</x:v>
      </x:c>
      <x:c r="I28" s="30" t="n">
        <x:f>C28*'Assumptions'!$F$6</x:f>
        <x:v>26.25</x:v>
      </x:c>
      <x:c r="J28" s="30" t="n">
        <x:f>C28*'Assumptions'!$G$6</x:f>
        <x:v>0</x:v>
      </x:c>
      <x:c r="K28" s="30" t="n">
        <x:f>E28*'Assumptions'!$H$6</x:f>
        <x:v>134.75</x:v>
      </x:c>
      <x:c r="L28" s="30" t="n">
        <x:f>IF($A28="Base",'Assumptions'!$B$12,IF($A28="Conservador",'Assumptions'!$B$12*0.5,'Assumptions'!$B$12*1.8))</x:f>
        <x:v>180</x:v>
      </x:c>
      <x:c r="M28" s="30" t="n">
        <x:f>IF($A28="Base",'Assumptions'!$B$13,IF($A28="Conservador",'Assumptions'!$B$13*0.67,'Assumptions'!$B$13*1.33))</x:f>
        <x:v>99.75</x:v>
      </x:c>
      <x:c r="N28" s="34" t="n">
        <x:f>G28-H28-I28-J28-K28-L28-M28</x:f>
        <x:v>252.25</x:v>
      </x:c>
      <x:c r="O28" s="34" t="n">
        <x:f>N28</x:f>
        <x:v>252.25</x:v>
      </x:c>
    </x:row>
    <x:row r="29">
      <x:c r="A29" s="5" t="str">
        <x:v>Optimista</x:v>
      </x:c>
      <x:c r="B29" s="32" t="n">
        <x:v>2</x:v>
      </x:c>
      <x:c r="C29" s="31" t="n">
        <x:f>'Assumptions'!$B$6</x:f>
        <x:v>35</x:v>
      </x:c>
      <x:c r="D29" s="30" t="n">
        <x:f>'Assumptions'!$C$6</x:f>
        <x:v>55</x:v>
      </x:c>
      <x:c r="E29" s="30" t="n">
        <x:f>C29*D29</x:f>
        <x:v>1925</x:v>
      </x:c>
      <x:c r="F29" s="30" t="n">
        <x:f>E29*(1-'Assumptions'!$D$6)</x:f>
        <x:v>1155</x:v>
      </x:c>
      <x:c r="G29" s="30" t="n">
        <x:f>E29-F29</x:f>
        <x:v>770</x:v>
      </x:c>
      <x:c r="H29" s="30" t="n">
        <x:f>E29*'Assumptions'!$E$6</x:f>
        <x:v>77</x:v>
      </x:c>
      <x:c r="I29" s="30" t="n">
        <x:f>C29*'Assumptions'!$F$6</x:f>
        <x:v>26.25</x:v>
      </x:c>
      <x:c r="J29" s="30" t="n">
        <x:f>C29*'Assumptions'!$G$6</x:f>
        <x:v>0</x:v>
      </x:c>
      <x:c r="K29" s="30" t="n">
        <x:f>E29*'Assumptions'!$H$6</x:f>
        <x:v>134.75</x:v>
      </x:c>
      <x:c r="L29" s="30" t="n">
        <x:f>IF($A29="Base",'Assumptions'!$B$12,IF($A29="Conservador",'Assumptions'!$B$12*0.5,'Assumptions'!$B$12*1.8))</x:f>
        <x:v>180</x:v>
      </x:c>
      <x:c r="M29" s="30" t="n">
        <x:f>IF($A29="Base",'Assumptions'!$B$13,IF($A29="Conservador",'Assumptions'!$B$13*0.67,'Assumptions'!$B$13*1.33))</x:f>
        <x:v>99.75</x:v>
      </x:c>
      <x:c r="N29" s="34" t="n">
        <x:f>G29-H29-I29-J29-K29-L29-M29</x:f>
        <x:v>252.25</x:v>
      </x:c>
      <x:c r="O29" s="34" t="n">
        <x:f>N29</x:f>
        <x:v>252.25</x:v>
      </x:c>
    </x:row>
    <x:row r="30">
      <x:c r="A30" s="5" t="str">
        <x:v>Optimista</x:v>
      </x:c>
      <x:c r="B30" s="32" t="n">
        <x:v>3</x:v>
      </x:c>
      <x:c r="C30" s="31" t="n">
        <x:f>'Assumptions'!$B$6</x:f>
        <x:v>35</x:v>
      </x:c>
      <x:c r="D30" s="30" t="n">
        <x:f>'Assumptions'!$C$6</x:f>
        <x:v>55</x:v>
      </x:c>
      <x:c r="E30" s="30" t="n">
        <x:f>C30*D30</x:f>
        <x:v>1925</x:v>
      </x:c>
      <x:c r="F30" s="30" t="n">
        <x:f>E30*(1-'Assumptions'!$D$6)</x:f>
        <x:v>1155</x:v>
      </x:c>
      <x:c r="G30" s="30" t="n">
        <x:f>E30-F30</x:f>
        <x:v>770</x:v>
      </x:c>
      <x:c r="H30" s="30" t="n">
        <x:f>E30*'Assumptions'!$E$6</x:f>
        <x:v>77</x:v>
      </x:c>
      <x:c r="I30" s="30" t="n">
        <x:f>C30*'Assumptions'!$F$6</x:f>
        <x:v>26.25</x:v>
      </x:c>
      <x:c r="J30" s="30" t="n">
        <x:f>C30*'Assumptions'!$G$6</x:f>
        <x:v>0</x:v>
      </x:c>
      <x:c r="K30" s="30" t="n">
        <x:f>E30*'Assumptions'!$H$6</x:f>
        <x:v>134.75</x:v>
      </x:c>
      <x:c r="L30" s="30" t="n">
        <x:f>IF($A30="Base",'Assumptions'!$B$12,IF($A30="Conservador",'Assumptions'!$B$12*0.5,'Assumptions'!$B$12*1.8))</x:f>
        <x:v>180</x:v>
      </x:c>
      <x:c r="M30" s="30" t="n">
        <x:f>IF($A30="Base",'Assumptions'!$B$13,IF($A30="Conservador",'Assumptions'!$B$13*0.67,'Assumptions'!$B$13*1.33))</x:f>
        <x:v>99.75</x:v>
      </x:c>
      <x:c r="N30" s="34" t="n">
        <x:f>G30-H30-I30-J30-K30-L30-M30</x:f>
        <x:v>252.25</x:v>
      </x:c>
      <x:c r="O30" s="34" t="n">
        <x:f>N30</x:f>
        <x:v>252.25</x:v>
      </x:c>
    </x:row>
    <x:row r="31">
      <x:c r="A31" s="5" t="str">
        <x:v>Optimista</x:v>
      </x:c>
      <x:c r="B31" s="32" t="n">
        <x:v>4</x:v>
      </x:c>
      <x:c r="C31" s="31" t="n">
        <x:f>'Assumptions'!$B$6</x:f>
        <x:v>35</x:v>
      </x:c>
      <x:c r="D31" s="30" t="n">
        <x:f>'Assumptions'!$C$6</x:f>
        <x:v>55</x:v>
      </x:c>
      <x:c r="E31" s="30" t="n">
        <x:f>C31*D31</x:f>
        <x:v>1925</x:v>
      </x:c>
      <x:c r="F31" s="30" t="n">
        <x:f>E31*(1-'Assumptions'!$D$6)</x:f>
        <x:v>1155</x:v>
      </x:c>
      <x:c r="G31" s="30" t="n">
        <x:f>E31-F31</x:f>
        <x:v>770</x:v>
      </x:c>
      <x:c r="H31" s="30" t="n">
        <x:f>E31*'Assumptions'!$E$6</x:f>
        <x:v>77</x:v>
      </x:c>
      <x:c r="I31" s="30" t="n">
        <x:f>C31*'Assumptions'!$F$6</x:f>
        <x:v>26.25</x:v>
      </x:c>
      <x:c r="J31" s="30" t="n">
        <x:f>C31*'Assumptions'!$G$6</x:f>
        <x:v>0</x:v>
      </x:c>
      <x:c r="K31" s="30" t="n">
        <x:f>E31*'Assumptions'!$H$6</x:f>
        <x:v>134.75</x:v>
      </x:c>
      <x:c r="L31" s="30" t="n">
        <x:f>IF($A31="Base",'Assumptions'!$B$12,IF($A31="Conservador",'Assumptions'!$B$12*0.5,'Assumptions'!$B$12*1.8))</x:f>
        <x:v>180</x:v>
      </x:c>
      <x:c r="M31" s="30" t="n">
        <x:f>IF($A31="Base",'Assumptions'!$B$13,IF($A31="Conservador",'Assumptions'!$B$13*0.67,'Assumptions'!$B$13*1.33))</x:f>
        <x:v>99.75</x:v>
      </x:c>
      <x:c r="N31" s="34" t="n">
        <x:f>G31-H31-I31-J31-K31-L31-M31</x:f>
        <x:v>252.25</x:v>
      </x:c>
      <x:c r="O31" s="34" t="n">
        <x:f>N31</x:f>
        <x:v>252.25</x:v>
      </x:c>
    </x:row>
    <x:row r="32">
      <x:c r="A32" s="5" t="str">
        <x:v>Optimista</x:v>
      </x:c>
      <x:c r="B32" s="32" t="n">
        <x:v>5</x:v>
      </x:c>
      <x:c r="C32" s="31" t="n">
        <x:f>'Assumptions'!$B$6</x:f>
        <x:v>35</x:v>
      </x:c>
      <x:c r="D32" s="30" t="n">
        <x:f>'Assumptions'!$C$6</x:f>
        <x:v>55</x:v>
      </x:c>
      <x:c r="E32" s="30" t="n">
        <x:f>C32*D32</x:f>
        <x:v>1925</x:v>
      </x:c>
      <x:c r="F32" s="30" t="n">
        <x:f>E32*(1-'Assumptions'!$D$6)</x:f>
        <x:v>1155</x:v>
      </x:c>
      <x:c r="G32" s="30" t="n">
        <x:f>E32-F32</x:f>
        <x:v>770</x:v>
      </x:c>
      <x:c r="H32" s="30" t="n">
        <x:f>E32*'Assumptions'!$E$6</x:f>
        <x:v>77</x:v>
      </x:c>
      <x:c r="I32" s="30" t="n">
        <x:f>C32*'Assumptions'!$F$6</x:f>
        <x:v>26.25</x:v>
      </x:c>
      <x:c r="J32" s="30" t="n">
        <x:f>C32*'Assumptions'!$G$6</x:f>
        <x:v>0</x:v>
      </x:c>
      <x:c r="K32" s="30" t="n">
        <x:f>E32*'Assumptions'!$H$6</x:f>
        <x:v>134.75</x:v>
      </x:c>
      <x:c r="L32" s="30" t="n">
        <x:f>IF($A32="Base",'Assumptions'!$B$12,IF($A32="Conservador",'Assumptions'!$B$12*0.5,'Assumptions'!$B$12*1.8))</x:f>
        <x:v>180</x:v>
      </x:c>
      <x:c r="M32" s="30" t="n">
        <x:f>IF($A32="Base",'Assumptions'!$B$13,IF($A32="Conservador",'Assumptions'!$B$13*0.67,'Assumptions'!$B$13*1.33))</x:f>
        <x:v>99.75</x:v>
      </x:c>
      <x:c r="N32" s="34" t="n">
        <x:f>G32-H32-I32-J32-K32-L32-M32</x:f>
        <x:v>252.25</x:v>
      </x:c>
      <x:c r="O32" s="34" t="n">
        <x:f>N32</x:f>
        <x:v>252.25</x:v>
      </x:c>
    </x:row>
    <x:row r="33">
      <x:c r="A33" s="5" t="str">
        <x:v>Optimista</x:v>
      </x:c>
      <x:c r="B33" s="32" t="n">
        <x:v>6</x:v>
      </x:c>
      <x:c r="C33" s="31" t="n">
        <x:f>'Assumptions'!$B$6</x:f>
        <x:v>35</x:v>
      </x:c>
      <x:c r="D33" s="30" t="n">
        <x:f>'Assumptions'!$C$6</x:f>
        <x:v>55</x:v>
      </x:c>
      <x:c r="E33" s="30" t="n">
        <x:f>C33*D33</x:f>
        <x:v>1925</x:v>
      </x:c>
      <x:c r="F33" s="30" t="n">
        <x:f>E33*(1-'Assumptions'!$D$6)</x:f>
        <x:v>1155</x:v>
      </x:c>
      <x:c r="G33" s="30" t="n">
        <x:f>E33-F33</x:f>
        <x:v>770</x:v>
      </x:c>
      <x:c r="H33" s="30" t="n">
        <x:f>E33*'Assumptions'!$E$6</x:f>
        <x:v>77</x:v>
      </x:c>
      <x:c r="I33" s="30" t="n">
        <x:f>C33*'Assumptions'!$F$6</x:f>
        <x:v>26.25</x:v>
      </x:c>
      <x:c r="J33" s="30" t="n">
        <x:f>C33*'Assumptions'!$G$6</x:f>
        <x:v>0</x:v>
      </x:c>
      <x:c r="K33" s="30" t="n">
        <x:f>E33*'Assumptions'!$H$6</x:f>
        <x:v>134.75</x:v>
      </x:c>
      <x:c r="L33" s="30" t="n">
        <x:f>IF($A33="Base",'Assumptions'!$B$12,IF($A33="Conservador",'Assumptions'!$B$12*0.5,'Assumptions'!$B$12*1.8))</x:f>
        <x:v>180</x:v>
      </x:c>
      <x:c r="M33" s="30" t="n">
        <x:f>IF($A33="Base",'Assumptions'!$B$13,IF($A33="Conservador",'Assumptions'!$B$13*0.67,'Assumptions'!$B$13*1.33))</x:f>
        <x:v>99.75</x:v>
      </x:c>
      <x:c r="N33" s="34" t="n">
        <x:f>G33-H33-I33-J33-K33-L33-M33</x:f>
        <x:v>252.25</x:v>
      </x:c>
      <x:c r="O33" s="34" t="n">
        <x:f>N33</x:f>
        <x:v>252.25</x:v>
      </x:c>
    </x:row>
    <x:row r="34">
      <x:c r="A34" s="5" t="str">
        <x:v>Optimista</x:v>
      </x:c>
      <x:c r="B34" s="32" t="n">
        <x:v>7</x:v>
      </x:c>
      <x:c r="C34" s="31" t="n">
        <x:f>'Assumptions'!$B$6</x:f>
        <x:v>35</x:v>
      </x:c>
      <x:c r="D34" s="30" t="n">
        <x:f>'Assumptions'!$C$6</x:f>
        <x:v>55</x:v>
      </x:c>
      <x:c r="E34" s="30" t="n">
        <x:f>C34*D34</x:f>
        <x:v>1925</x:v>
      </x:c>
      <x:c r="F34" s="30" t="n">
        <x:f>E34*(1-'Assumptions'!$D$6)</x:f>
        <x:v>1155</x:v>
      </x:c>
      <x:c r="G34" s="30" t="n">
        <x:f>E34-F34</x:f>
        <x:v>770</x:v>
      </x:c>
      <x:c r="H34" s="30" t="n">
        <x:f>E34*'Assumptions'!$E$6</x:f>
        <x:v>77</x:v>
      </x:c>
      <x:c r="I34" s="30" t="n">
        <x:f>C34*'Assumptions'!$F$6</x:f>
        <x:v>26.25</x:v>
      </x:c>
      <x:c r="J34" s="30" t="n">
        <x:f>C34*'Assumptions'!$G$6</x:f>
        <x:v>0</x:v>
      </x:c>
      <x:c r="K34" s="30" t="n">
        <x:f>E34*'Assumptions'!$H$6</x:f>
        <x:v>134.75</x:v>
      </x:c>
      <x:c r="L34" s="30" t="n">
        <x:f>IF($A34="Base",'Assumptions'!$B$12,IF($A34="Conservador",'Assumptions'!$B$12*0.5,'Assumptions'!$B$12*1.8))</x:f>
        <x:v>180</x:v>
      </x:c>
      <x:c r="M34" s="30" t="n">
        <x:f>IF($A34="Base",'Assumptions'!$B$13,IF($A34="Conservador",'Assumptions'!$B$13*0.67,'Assumptions'!$B$13*1.33))</x:f>
        <x:v>99.75</x:v>
      </x:c>
      <x:c r="N34" s="34" t="n">
        <x:f>G34-H34-I34-J34-K34-L34-M34</x:f>
        <x:v>252.25</x:v>
      </x:c>
      <x:c r="O34" s="34" t="n">
        <x:f>N34</x:f>
        <x:v>252.25</x:v>
      </x:c>
    </x:row>
    <x:row r="35">
      <x:c r="A35" s="5" t="str">
        <x:v>Optimista</x:v>
      </x:c>
      <x:c r="B35" s="32" t="n">
        <x:v>8</x:v>
      </x:c>
      <x:c r="C35" s="31" t="n">
        <x:f>'Assumptions'!$B$6</x:f>
        <x:v>35</x:v>
      </x:c>
      <x:c r="D35" s="30" t="n">
        <x:f>'Assumptions'!$C$6</x:f>
        <x:v>55</x:v>
      </x:c>
      <x:c r="E35" s="30" t="n">
        <x:f>C35*D35</x:f>
        <x:v>1925</x:v>
      </x:c>
      <x:c r="F35" s="30" t="n">
        <x:f>E35*(1-'Assumptions'!$D$6)</x:f>
        <x:v>1155</x:v>
      </x:c>
      <x:c r="G35" s="30" t="n">
        <x:f>E35-F35</x:f>
        <x:v>770</x:v>
      </x:c>
      <x:c r="H35" s="30" t="n">
        <x:f>E35*'Assumptions'!$E$6</x:f>
        <x:v>77</x:v>
      </x:c>
      <x:c r="I35" s="30" t="n">
        <x:f>C35*'Assumptions'!$F$6</x:f>
        <x:v>26.25</x:v>
      </x:c>
      <x:c r="J35" s="30" t="n">
        <x:f>C35*'Assumptions'!$G$6</x:f>
        <x:v>0</x:v>
      </x:c>
      <x:c r="K35" s="30" t="n">
        <x:f>E35*'Assumptions'!$H$6</x:f>
        <x:v>134.75</x:v>
      </x:c>
      <x:c r="L35" s="30" t="n">
        <x:f>IF($A35="Base",'Assumptions'!$B$12,IF($A35="Conservador",'Assumptions'!$B$12*0.5,'Assumptions'!$B$12*1.8))</x:f>
        <x:v>180</x:v>
      </x:c>
      <x:c r="M35" s="30" t="n">
        <x:f>IF($A35="Base",'Assumptions'!$B$13,IF($A35="Conservador",'Assumptions'!$B$13*0.67,'Assumptions'!$B$13*1.33))</x:f>
        <x:v>99.75</x:v>
      </x:c>
      <x:c r="N35" s="34" t="n">
        <x:f>G35-H35-I35-J35-K35-L35-M35</x:f>
        <x:v>252.25</x:v>
      </x:c>
      <x:c r="O35" s="34" t="n">
        <x:f>N35</x:f>
        <x:v>252.25</x:v>
      </x:c>
    </x:row>
    <x:row r="36">
      <x:c r="A36" s="5" t="str">
        <x:v>Optimista</x:v>
      </x:c>
      <x:c r="B36" s="32" t="n">
        <x:v>9</x:v>
      </x:c>
      <x:c r="C36" s="31" t="n">
        <x:f>'Assumptions'!$B$6</x:f>
        <x:v>35</x:v>
      </x:c>
      <x:c r="D36" s="30" t="n">
        <x:f>'Assumptions'!$C$6</x:f>
        <x:v>55</x:v>
      </x:c>
      <x:c r="E36" s="30" t="n">
        <x:f>C36*D36</x:f>
        <x:v>1925</x:v>
      </x:c>
      <x:c r="F36" s="30" t="n">
        <x:f>E36*(1-'Assumptions'!$D$6)</x:f>
        <x:v>1155</x:v>
      </x:c>
      <x:c r="G36" s="30" t="n">
        <x:f>E36-F36</x:f>
        <x:v>770</x:v>
      </x:c>
      <x:c r="H36" s="30" t="n">
        <x:f>E36*'Assumptions'!$E$6</x:f>
        <x:v>77</x:v>
      </x:c>
      <x:c r="I36" s="30" t="n">
        <x:f>C36*'Assumptions'!$F$6</x:f>
        <x:v>26.25</x:v>
      </x:c>
      <x:c r="J36" s="30" t="n">
        <x:f>C36*'Assumptions'!$G$6</x:f>
        <x:v>0</x:v>
      </x:c>
      <x:c r="K36" s="30" t="n">
        <x:f>E36*'Assumptions'!$H$6</x:f>
        <x:v>134.75</x:v>
      </x:c>
      <x:c r="L36" s="30" t="n">
        <x:f>IF($A36="Base",'Assumptions'!$B$12,IF($A36="Conservador",'Assumptions'!$B$12*0.5,'Assumptions'!$B$12*1.8))</x:f>
        <x:v>180</x:v>
      </x:c>
      <x:c r="M36" s="30" t="n">
        <x:f>IF($A36="Base",'Assumptions'!$B$13,IF($A36="Conservador",'Assumptions'!$B$13*0.67,'Assumptions'!$B$13*1.33))</x:f>
        <x:v>99.75</x:v>
      </x:c>
      <x:c r="N36" s="34" t="n">
        <x:f>G36-H36-I36-J36-K36-L36-M36</x:f>
        <x:v>252.25</x:v>
      </x:c>
      <x:c r="O36" s="34" t="n">
        <x:f>N36</x:f>
        <x:v>252.25</x:v>
      </x:c>
    </x:row>
    <x:row r="37">
      <x:c r="A37" s="5" t="str">
        <x:v>Optimista</x:v>
      </x:c>
      <x:c r="B37" s="32" t="n">
        <x:v>10</x:v>
      </x:c>
      <x:c r="C37" s="31" t="n">
        <x:f>'Assumptions'!$B$6</x:f>
        <x:v>35</x:v>
      </x:c>
      <x:c r="D37" s="30" t="n">
        <x:f>'Assumptions'!$C$6</x:f>
        <x:v>55</x:v>
      </x:c>
      <x:c r="E37" s="30" t="n">
        <x:f>C37*D37</x:f>
        <x:v>1925</x:v>
      </x:c>
      <x:c r="F37" s="30" t="n">
        <x:f>E37*(1-'Assumptions'!$D$6)</x:f>
        <x:v>1155</x:v>
      </x:c>
      <x:c r="G37" s="30" t="n">
        <x:f>E37-F37</x:f>
        <x:v>770</x:v>
      </x:c>
      <x:c r="H37" s="30" t="n">
        <x:f>E37*'Assumptions'!$E$6</x:f>
        <x:v>77</x:v>
      </x:c>
      <x:c r="I37" s="30" t="n">
        <x:f>C37*'Assumptions'!$F$6</x:f>
        <x:v>26.25</x:v>
      </x:c>
      <x:c r="J37" s="30" t="n">
        <x:f>C37*'Assumptions'!$G$6</x:f>
        <x:v>0</x:v>
      </x:c>
      <x:c r="K37" s="30" t="n">
        <x:f>E37*'Assumptions'!$H$6</x:f>
        <x:v>134.75</x:v>
      </x:c>
      <x:c r="L37" s="30" t="n">
        <x:f>IF($A37="Base",'Assumptions'!$B$12,IF($A37="Conservador",'Assumptions'!$B$12*0.5,'Assumptions'!$B$12*1.8))</x:f>
        <x:v>180</x:v>
      </x:c>
      <x:c r="M37" s="30" t="n">
        <x:f>IF($A37="Base",'Assumptions'!$B$13,IF($A37="Conservador",'Assumptions'!$B$13*0.67,'Assumptions'!$B$13*1.33))</x:f>
        <x:v>99.75</x:v>
      </x:c>
      <x:c r="N37" s="34" t="n">
        <x:f>G37-H37-I37-J37-K37-L37-M37</x:f>
        <x:v>252.25</x:v>
      </x:c>
      <x:c r="O37" s="34" t="n">
        <x:f>N37</x:f>
        <x:v>252.25</x:v>
      </x:c>
    </x:row>
    <x:row r="38">
      <x:c r="A38" s="5" t="str">
        <x:v>Optimista</x:v>
      </x:c>
      <x:c r="B38" s="32" t="n">
        <x:v>11</x:v>
      </x:c>
      <x:c r="C38" s="31" t="n">
        <x:f>'Assumptions'!$B$6</x:f>
        <x:v>35</x:v>
      </x:c>
      <x:c r="D38" s="30" t="n">
        <x:f>'Assumptions'!$C$6</x:f>
        <x:v>55</x:v>
      </x:c>
      <x:c r="E38" s="30" t="n">
        <x:f>C38*D38</x:f>
        <x:v>1925</x:v>
      </x:c>
      <x:c r="F38" s="30" t="n">
        <x:f>E38*(1-'Assumptions'!$D$6)</x:f>
        <x:v>1155</x:v>
      </x:c>
      <x:c r="G38" s="30" t="n">
        <x:f>E38-F38</x:f>
        <x:v>770</x:v>
      </x:c>
      <x:c r="H38" s="30" t="n">
        <x:f>E38*'Assumptions'!$E$6</x:f>
        <x:v>77</x:v>
      </x:c>
      <x:c r="I38" s="30" t="n">
        <x:f>C38*'Assumptions'!$F$6</x:f>
        <x:v>26.25</x:v>
      </x:c>
      <x:c r="J38" s="30" t="n">
        <x:f>C38*'Assumptions'!$G$6</x:f>
        <x:v>0</x:v>
      </x:c>
      <x:c r="K38" s="30" t="n">
        <x:f>E38*'Assumptions'!$H$6</x:f>
        <x:v>134.75</x:v>
      </x:c>
      <x:c r="L38" s="30" t="n">
        <x:f>IF($A38="Base",'Assumptions'!$B$12,IF($A38="Conservador",'Assumptions'!$B$12*0.5,'Assumptions'!$B$12*1.8))</x:f>
        <x:v>180</x:v>
      </x:c>
      <x:c r="M38" s="30" t="n">
        <x:f>IF($A38="Base",'Assumptions'!$B$13,IF($A38="Conservador",'Assumptions'!$B$13*0.67,'Assumptions'!$B$13*1.33))</x:f>
        <x:v>99.75</x:v>
      </x:c>
      <x:c r="N38" s="34" t="n">
        <x:f>G38-H38-I38-J38-K38-L38-M38</x:f>
        <x:v>252.25</x:v>
      </x:c>
      <x:c r="O38" s="34" t="n">
        <x:f>N38</x:f>
        <x:v>252.25</x:v>
      </x:c>
    </x:row>
    <x:row r="39">
      <x:c r="A39" s="5" t="str">
        <x:v>Optimista</x:v>
      </x:c>
      <x:c r="B39" s="32" t="n">
        <x:v>12</x:v>
      </x:c>
      <x:c r="C39" s="31" t="n">
        <x:f>'Assumptions'!$B$6</x:f>
        <x:v>35</x:v>
      </x:c>
      <x:c r="D39" s="30" t="n">
        <x:f>'Assumptions'!$C$6</x:f>
        <x:v>55</x:v>
      </x:c>
      <x:c r="E39" s="30" t="n">
        <x:f>C39*D39</x:f>
        <x:v>1925</x:v>
      </x:c>
      <x:c r="F39" s="30" t="n">
        <x:f>E39*(1-'Assumptions'!$D$6)</x:f>
        <x:v>1155</x:v>
      </x:c>
      <x:c r="G39" s="30" t="n">
        <x:f>E39-F39</x:f>
        <x:v>770</x:v>
      </x:c>
      <x:c r="H39" s="30" t="n">
        <x:f>E39*'Assumptions'!$E$6</x:f>
        <x:v>77</x:v>
      </x:c>
      <x:c r="I39" s="30" t="n">
        <x:f>C39*'Assumptions'!$F$6</x:f>
        <x:v>26.25</x:v>
      </x:c>
      <x:c r="J39" s="30" t="n">
        <x:f>C39*'Assumptions'!$G$6</x:f>
        <x:v>0</x:v>
      </x:c>
      <x:c r="K39" s="30" t="n">
        <x:f>E39*'Assumptions'!$H$6</x:f>
        <x:v>134.75</x:v>
      </x:c>
      <x:c r="L39" s="30" t="n">
        <x:f>IF($A39="Base",'Assumptions'!$B$12,IF($A39="Conservador",'Assumptions'!$B$12*0.5,'Assumptions'!$B$12*1.8))</x:f>
        <x:v>180</x:v>
      </x:c>
      <x:c r="M39" s="30" t="n">
        <x:f>IF($A39="Base",'Assumptions'!$B$13,IF($A39="Conservador",'Assumptions'!$B$13*0.67,'Assumptions'!$B$13*1.33))</x:f>
        <x:v>99.75</x:v>
      </x:c>
      <x:c r="N39" s="34" t="n">
        <x:f>G39-H39-I39-J39-K39-L39-M39</x:f>
        <x:v>252.25</x:v>
      </x:c>
      <x:c r="O39" s="34" t="n">
        <x:f>N39</x:f>
        <x:v>252.25</x:v>
      </x:c>
    </x:row>
    <x:row r="42" ht="36" customHeight="1">
      <x:c r="A42" s="22" t="str">
        <x:v>Scenario Summary</x:v>
      </x:c>
      <x:c r="B42" s="23" t="str">
        <x:v>Pedidos 12m</x:v>
      </x:c>
      <x:c r="C42" s="23" t="str">
        <x:v>Ingresos</x:v>
      </x:c>
      <x:c r="D42" s="23" t="str">
        <x:v>Contribución</x:v>
      </x:c>
      <x:c r="E42" s="23" t="str">
        <x:v>Margen contribución</x:v>
      </x:c>
      <x:c r="F42" s="23" t="str">
        <x:v>Punto equilibrio pedidos/mes</x:v>
      </x:c>
      <x:c r="G42" s="23" t="str">
        <x:v>Rotación inventario</x:v>
      </x:c>
      <x:c r="H42" s="23" t="str">
        <x:v>Días inventario</x:v>
      </x:c>
      <x:c r="I42" s="23" t="str">
        <x:v>GMROI</x:v>
      </x:c>
      <x:c r="J42" s="24" t="str">
        <x:v>Capital adicional estimado</x:v>
      </x:c>
    </x:row>
    <x:row r="43">
      <x:c r="A43" s="6" t="str">
        <x:v>Conservador</x:v>
      </x:c>
      <x:c r="B43" s="31" t="n">
        <x:f>SUM(C4:C15)</x:f>
        <x:v>96</x:v>
      </x:c>
      <x:c r="C43" s="30" t="n">
        <x:f>SUM(E4:E15)</x:f>
        <x:v>3360</x:v>
      </x:c>
      <x:c r="D43" s="30" t="n">
        <x:f>SUM(N4:N15)</x:f>
        <x:v>-502.2000000000001</x:v>
      </x:c>
      <x:c r="E43" s="35" t="n">
        <x:f>IFERROR(D43/C43,0)</x:f>
        <x:v>-0.14946428571428574</x:v>
      </x:c>
      <x:c r="F43" s="31" t="str">
        <x:f>IF(D43/B43&lt;=0,"N/A",IFERROR(((SUM(L4:L15)+SUM(M4:M15))/12)/(D43/B43),0))</x:f>
        <x:v>N/A</x:v>
      </x:c>
      <x:c r="G43" s="31" t="n">
        <x:f>IFERROR(SUM(F4:F15)/'Assumptions'!$B$11,0)</x:f>
        <x:v>5.88</x:v>
      </x:c>
      <x:c r="H43" s="31" t="n">
        <x:f>IFERROR(365/G43,0)</x:f>
        <x:v>62.07482993197279</x:v>
      </x:c>
      <x:c r="I43" s="31" t="n">
        <x:f>IFERROR(SUM(G4:G15)/'Assumptions'!$B$11,0)</x:f>
        <x:v>2.52</x:v>
      </x:c>
      <x:c r="J43" s="30" t="n">
        <x:f>MAX(0,(SUM(F4:F15)/12*2)+'Assumptions'!$B$12+'Assumptions'!$B$13-'Assumptions'!$B$9)</x:f>
        <x:v>0</x:v>
      </x:c>
    </x:row>
    <x:row r="44">
      <x:c r="A44" s="6" t="str">
        <x:v>Base</x:v>
      </x:c>
      <x:c r="B44" s="31" t="n">
        <x:f>SUM(C16:C27)</x:f>
        <x:v>240</x:v>
      </x:c>
      <x:c r="C44" s="30" t="n">
        <x:f>SUM(E16:E27)</x:f>
        <x:v>10800</x:v>
      </x:c>
      <x:c r="D44" s="30" t="n">
        <x:f>SUM(N16:N27)</x:f>
        <x:v>528</x:v>
      </x:c>
      <x:c r="E44" s="35" t="n">
        <x:f>IFERROR(D44/C44,0)</x:f>
        <x:v>0.04888888888888889</x:v>
      </x:c>
      <x:c r="F44" s="31" t="n">
        <x:f>IF(D44/B44&lt;=0,"N/A",IFERROR(((SUM(L16:L27)+SUM(M16:M27))/12)/(D44/B44),0))</x:f>
        <x:v>79.54545454545453</x:v>
      </x:c>
      <x:c r="G44" s="31" t="n">
        <x:f>IFERROR(SUM(F16:F27)/'Assumptions'!$B$11,0)</x:f>
        <x:v>17.55</x:v>
      </x:c>
      <x:c r="H44" s="31" t="n">
        <x:f>IFERROR(365/G44,0)</x:f>
        <x:v>20.797720797720796</x:v>
      </x:c>
      <x:c r="I44" s="31" t="n">
        <x:f>IFERROR(SUM(G16:G27)/'Assumptions'!$B$11,0)</x:f>
        <x:v>9.45</x:v>
      </x:c>
      <x:c r="J44" s="30" t="n">
        <x:f>MAX(0,(SUM(F16:F27)/12*2)+'Assumptions'!$B$12+'Assumptions'!$B$13-'Assumptions'!$B$9)</x:f>
        <x:v>0</x:v>
      </x:c>
    </x:row>
    <x:row r="45">
      <x:c r="A45" s="6" t="str">
        <x:v>Optimista</x:v>
      </x:c>
      <x:c r="B45" s="31" t="n">
        <x:f>SUM(C28:C39)</x:f>
        <x:v>420</x:v>
      </x:c>
      <x:c r="C45" s="30" t="n">
        <x:f>SUM(E28:E39)</x:f>
        <x:v>23100</x:v>
      </x:c>
      <x:c r="D45" s="30" t="n">
        <x:f>SUM(N28:N39)</x:f>
        <x:v>3027</x:v>
      </x:c>
      <x:c r="E45" s="35" t="n">
        <x:f>IFERROR(D45/C45,0)</x:f>
        <x:v>0.13103896103896104</x:v>
      </x:c>
      <x:c r="F45" s="31" t="n">
        <x:f>IF(D45/B45&lt;=0,"N/A",IFERROR(((SUM(L28:L39)+SUM(M28:M39))/12)/(D45/B45),0))</x:f>
        <x:v>38.81565906838454</x:v>
      </x:c>
      <x:c r="G45" s="31" t="n">
        <x:f>IFERROR(SUM(F28:F39)/'Assumptions'!$B$11,0)</x:f>
        <x:v>34.65</x:v>
      </x:c>
      <x:c r="H45" s="31" t="n">
        <x:f>IFERROR(365/G45,0)</x:f>
        <x:v>10.533910533910534</x:v>
      </x:c>
      <x:c r="I45" s="31" t="n">
        <x:f>IFERROR(SUM(G28:G39)/'Assumptions'!$B$11,0)</x:f>
        <x:v>23.1</x:v>
      </x:c>
      <x:c r="J45" s="30" t="n">
        <x:f>MAX(0,(SUM(F28:F39)/12*2)+'Assumptions'!$B$12+'Assumptions'!$B$13-'Assumptions'!$B$9)</x:f>
        <x:v>0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55" hidden="0" customWidth="1"/>
    <x:col min="4" max="4" width="16" hidden="0" customWidth="1"/>
    <x:col min="5" max="5" width="16" hidden="0" customWidth="1"/>
    <x:col min="6" max="6" width="55" hidden="0" customWidth="1"/>
  </x:cols>
  <x:sheetData>
    <x:row r="1">
      <x:c r="A1" s="4" t="str">
        <x:v>Sources / audit trail</x:v>
      </x:c>
      <x:c r="B1" s="4"/>
      <x:c r="C1" s="4"/>
      <x:c r="D1" s="4"/>
      <x:c r="E1" s="4"/>
      <x:c r="F1" s="4"/>
    </x:row>
    <x:row r="3">
      <x:c r="A3" s="22" t="str">
        <x:v>ID</x:v>
      </x:c>
      <x:c r="B3" s="23" t="str">
        <x:v>Fuente</x:v>
      </x:c>
      <x:c r="C3" s="23" t="str">
        <x:v>URL</x:v>
      </x:c>
      <x:c r="D3" s="23" t="str">
        <x:v>Fecha publicación</x:v>
      </x:c>
      <x:c r="E3" s="23" t="str">
        <x:v>Fecha consulta</x:v>
      </x:c>
      <x:c r="F3" s="24" t="str">
        <x:v>Uso/limitación</x:v>
      </x:c>
    </x:row>
    <x:row r="4">
      <x:c r="A4" s="7" t="str">
        <x:v>S1</x:v>
      </x:c>
      <x:c r="B4" s="7" t="str">
        <x:v>ONASEVI — Datos Estadísticos</x:v>
      </x:c>
      <x:c r="C4" s="7" t="str">
        <x:v>https://observatoriovial.fonat.gob.sv/datos-estadisticos/</x:v>
      </x:c>
      <x:c r="D4" s="7" t="str">
        <x:v>ND</x:v>
      </x:c>
      <x:c r="E4" s="7" t="str">
        <x:v>2026-08-02</x:v>
      </x:c>
      <x:c r="F4" s="7" t="str">
        <x:v>Fuente oficial; tablero no expuso tabla descargable en texto.</x:v>
      </x:c>
    </x:row>
    <x:row r="5">
      <x:c r="A5" s="7" t="str">
        <x:v>S2</x:v>
      </x:c>
      <x:c r="B5" s="7" t="str">
        <x:v>Diario El Mundo — parque vehicular</x:v>
      </x:c>
      <x:c r="C5" s="7" t="str">
        <x:v>https://diario.elmundo.sv/ampArticle/estas-son-las-cinco-marcas-de-vehiculos-que-concentran-la-mayor-parte-del-parque-vehicular-en-el-salvador?amp=1</x:v>
      </x:c>
      <x:c r="D5" s="7" t="str">
        <x:v>2025-12-07</x:v>
      </x:c>
      <x:c r="E5" s="7" t="str">
        <x:v>2026-08-02</x:v>
      </x:c>
      <x:c r="F5" s="7" t="str">
        <x:v>Prensa secundaria que cita ONASEVI; no sustituye microdato.</x:v>
      </x:c>
    </x:row>
    <x:row r="6">
      <x:c r="A6" s="7" t="str">
        <x:v>S3</x:v>
      </x:c>
      <x:c r="B6" s="7" t="str">
        <x:v>BUBU Auto Parts</x:v>
      </x:c>
      <x:c r="C6" s="7" t="str">
        <x:v>https://bubuautoparts.com/</x:v>
      </x:c>
      <x:c r="D6" s="7" t="str">
        <x:v>ND</x:v>
      </x:c>
      <x:c r="E6" s="7" t="str">
        <x:v>2026-08-02</x:v>
      </x:c>
      <x:c r="F6" s="7" t="str">
        <x:v>Oferta/capacidades observables; no prueba ventas ni SLA.</x:v>
      </x:c>
    </x:row>
    <x:row r="7">
      <x:c r="A7" s="7" t="str">
        <x:v>S4</x:v>
      </x:c>
      <x:c r="B7" s="7" t="str">
        <x:v>Super Repuestos</x:v>
      </x:c>
      <x:c r="C7" s="7" t="str">
        <x:v>https://ecomm-dev-sv.superrepuestos.com/</x:v>
      </x:c>
      <x:c r="D7" s="7" t="str">
        <x:v>ND</x:v>
      </x:c>
      <x:c r="E7" s="7" t="str">
        <x:v>2026-08-02</x:v>
      </x:c>
      <x:c r="F7" s="7" t="str">
        <x:v>Oferta/autodescripción; no prueba precio o disponibilidad por SKU.</x:v>
      </x:c>
    </x:row>
    <x:row r="8">
      <x:c r="A8" s="7" t="str">
        <x:v>S5</x:v>
      </x:c>
      <x:c r="B8" s="7" t="str">
        <x:v>Econoparts</x:v>
      </x:c>
      <x:c r="C8" s="7" t="str">
        <x:v>https://www.econoparts.com/?page_id=1518</x:v>
      </x:c>
      <x:c r="D8" s="7" t="str">
        <x:v>ND</x:v>
      </x:c>
      <x:c r="E8" s="7" t="str">
        <x:v>2026-08-02</x:v>
      </x:c>
      <x:c r="F8" s="7" t="str">
        <x:v>Oferta/autodescripción; no prueba condiciones para este proyecto.</x:v>
      </x:c>
    </x:row>
    <x:row r="9">
      <x:c r="A9" s="7" t="str">
        <x:v>S6</x:v>
      </x:c>
      <x:c r="B9" s="7" t="str">
        <x:v>Defensoría del Consumidor</x:v>
      </x:c>
      <x:c r="C9" s="7" t="str">
        <x:v>https://www.defensoria.gob.sv/obligaciones/</x:v>
      </x:c>
      <x:c r="D9" s="7" t="str">
        <x:v>ND</x:v>
      </x:c>
      <x:c r="E9" s="7" t="str">
        <x:v>2026-08-02</x:v>
      </x:c>
      <x:c r="F9" s="7" t="str">
        <x:v>Obligaciones e-commerce; validar con asesoría legal/contable.</x:v>
      </x:c>
    </x:row>
    <x:row r="10">
      <x:c r="A10" s="7" t="str">
        <x:v>S7</x:v>
      </x:c>
      <x:c r="B10" s="7" t="str">
        <x:v>Ministerio de Hacienda — DTE</x:v>
      </x:c>
      <x:c r="C10" s="7" t="str">
        <x:v>https://www.mh.gob.sv/reformas-al-codigo-tributario-relativas-a-la-facturacion-electronica-documentos-tributarios-electronicos-dte/</x:v>
      </x:c>
      <x:c r="D10" s="7" t="str">
        <x:v>2022-10-14</x:v>
      </x:c>
      <x:c r="E10" s="7" t="str">
        <x:v>2026-08-02</x:v>
      </x:c>
      <x:c r="F10" s="7" t="str">
        <x:v>Marco DTE e incorporación gradual.</x:v>
      </x:c>
    </x:row>
    <x:row r="11">
      <x:c r="A11" s="7" t="str">
        <x:v>S8</x:v>
      </x:c>
      <x:c r="B11" s="7" t="str">
        <x:v>ONEC/BCR — clasificación</x:v>
      </x:c>
      <x:c r="C11" s="7" t="str">
        <x:v>https://onec.bcr.gob.sv/clasificadoresv2/Clasificadores/Index/200?tipo=1</x:v>
      </x:c>
      <x:c r="D11" s="7" t="str">
        <x:v>ND</x:v>
      </x:c>
      <x:c r="E11" s="7" t="str">
        <x:v>2026-08-02</x:v>
      </x:c>
      <x:c r="F11" s="7" t="str">
        <x:v>Clasificación económica; no es autorización tributaria.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52" hidden="0" customWidth="1"/>
  </x:cols>
  <x:sheetData>
    <x:row r="1">
      <x:c r="A1" s="4" t="str">
        <x:v>Checks — control de calidad del modelo</x:v>
      </x:c>
      <x:c r="B1" s="4"/>
      <x:c r="C1" s="4"/>
      <x:c r="D1" s="4"/>
      <x:c r="E1" s="4"/>
      <x:c r="F1" s="4"/>
    </x:row>
    <x:row r="3">
      <x:c r="A3" s="22" t="str">
        <x:v>Check</x:v>
      </x:c>
      <x:c r="B3" s="23" t="str">
        <x:v>Actual</x:v>
      </x:c>
      <x:c r="C3" s="23" t="str">
        <x:v>Esperado</x:v>
      </x:c>
      <x:c r="D3" s="23" t="str">
        <x:v>Diferencia</x:v>
      </x:c>
      <x:c r="E3" s="23" t="str">
        <x:v>Estado</x:v>
      </x:c>
      <x:c r="F3" s="24" t="str">
        <x:v>Nota</x:v>
      </x:c>
    </x:row>
    <x:row r="4">
      <x:c r="A4" s="6" t="str">
        <x:v>Capital &gt; inventario</x:v>
      </x:c>
      <x:c r="B4" s="30" t="n">
        <x:f>'Assumptions'!B9</x:f>
        <x:v>3000</x:v>
      </x:c>
      <x:c r="C4" s="30" t="n">
        <x:f>'Assumptions'!B10</x:f>
        <x:v>1500</x:v>
      </x:c>
      <x:c r="D4" s="30" t="n">
        <x:f>B4-C4</x:f>
        <x:v>1500</x:v>
      </x:c>
      <x:c r="E4" t="str">
        <x:f>IF(B4&gt;C4,"OK","REVISAR")</x:f>
        <x:v>OK</x:v>
      </x:c>
      <x:c r="F4" s="7" t="str">
        <x:v>Supuesto de capital total</x:v>
      </x:c>
    </x:row>
    <x:row r="5">
      <x:c r="A5" s="6" t="str">
        <x:v>Inventario ≤ techo</x:v>
      </x:c>
      <x:c r="B5" s="30" t="n">
        <x:f>'Assumptions'!B10</x:f>
        <x:v>1500</x:v>
      </x:c>
      <x:c r="C5" s="30" t="n">
        <x:f>'Assumptions'!B10</x:f>
        <x:v>1500</x:v>
      </x:c>
      <x:c r="D5" s="30" t="n">
        <x:f>B5-C5</x:f>
        <x:v>0</x:v>
      </x:c>
      <x:c r="E5" t="str">
        <x:f>IF(B5&lt;=C5,"OK","REVISAR")</x:f>
        <x:v>OK</x:v>
      </x:c>
      <x:c r="F5" s="7" t="str">
        <x:v>Techo provisional</x:v>
      </x:c>
    </x:row>
    <x:row r="6">
      <x:c r="A6" s="6" t="str">
        <x:v>Contribución base no negativa</x:v>
      </x:c>
      <x:c r="B6" s="30" t="n">
        <x:f>'Monthly Model'!D44</x:f>
        <x:v>528</x:v>
      </x:c>
      <x:c r="C6" s="30" t="n">
        <x:f>0</x:f>
        <x:v>0</x:v>
      </x:c>
      <x:c r="D6" s="30" t="n">
        <x:f>B6-C6</x:f>
        <x:v>528</x:v>
      </x:c>
      <x:c r="E6" t="str">
        <x:f>IF(B6&gt;=C6,"OK","REVISAR")</x:f>
        <x:v>OK</x:v>
      </x:c>
      <x:c r="F6" s="7" t="str">
        <x:v>Comprueba la contribución anual resumida del escenario base</x:v>
      </x:c>
    </x:row>
    <x:row r="7">
      <x:c r="A7" s="6" t="str">
        <x:v>Margen contribución base ≥ objetivo</x:v>
      </x:c>
      <x:c r="B7" s="30" t="n">
        <x:f>'Monthly Model'!E44</x:f>
        <x:v>0.04888888888888889</x:v>
      </x:c>
      <x:c r="C7" s="30" t="n">
        <x:f>'Assumptions'!B15</x:f>
        <x:v>0.15</x:v>
      </x:c>
      <x:c r="D7" s="30" t="n">
        <x:f>B7-C7</x:f>
        <x:v>-0.1011111111111111</x:v>
      </x:c>
      <x:c r="E7" t="str">
        <x:f>IF(B7&gt;=C7,"OK","REVISAR")</x:f>
        <x:v>REVISAR</x:v>
      </x:c>
      <x:c r="F7" s="7" t="str">
        <x:v>Comparar con objetivo 15%</x:v>
      </x:c>
    </x:row>
    <x:row r="8">
      <x:c r="A8" s="6" t="str">
        <x:v>Sin celdas ND en supuestos críticos</x:v>
      </x:c>
      <x:c r="B8" s="31" t="n">
        <x:f>COUNTIF('Assumptions'!B4:H16,"ND")</x:f>
        <x:v>0</x:v>
      </x:c>
      <x:c r="C8" s="31" t="n">
        <x:f>0</x:f>
        <x:v>0</x:v>
      </x:c>
      <x:c r="D8" s="31" t="n">
        <x:f>B8-C8</x:f>
        <x:v>0</x:v>
      </x:c>
      <x:c r="E8" t="str">
        <x:f>IF(B8=C8,"OK","REVISAR")</x:f>
        <x:v>OK</x:v>
      </x:c>
      <x:c r="F8" s="7" t="str">
        <x:v>ND es aceptable solo en tablas de datos, no en inputs</x:v>
      </x:c>
    </x:row>
  </x:sheetData>
  <x:mergeCells>
    <x:mergeCell ref="A1:F1"/>
  </x:mergeCells>
  <x:conditionalFormatting sqref="E4:E8">
    <x:cfRule type="containsText" dxfId="0" priority="1" operator="containsText" text="OK"/>
    <x:cfRule type="containsText" dxfId="1" priority="2" operator="containsText" text="REVISAR"/>
  </x:conditionalFormatting>
  <x:pageMargins left="0.7" right="0.7" top="0.75" bottom="0.75" header="0.3" footer="0.3"/>
</x:worksheet>
</file>